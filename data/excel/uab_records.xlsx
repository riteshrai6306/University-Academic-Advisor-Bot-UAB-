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Records" sheetId="1" state="visible" r:id="rId3"/>
    <sheet name="Analyt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<sst xmlns="http://schemas.openxmlformats.org/spreadsheetml/2006/main" count="444" uniqueCount="251">
  <si>
    <t xml:space="preserve">StudentID</t>
  </si>
  <si>
    <t xml:space="preserve">Name</t>
  </si>
  <si>
    <t xml:space="preserve">Course</t>
  </si>
  <si>
    <t xml:space="preserve">Semester</t>
  </si>
  <si>
    <t xml:space="preserve">Marks (/100)</t>
  </si>
  <si>
    <t xml:space="preserve">Attendance (%)</t>
  </si>
  <si>
    <t xml:space="preserve">CGPA</t>
  </si>
  <si>
    <t xml:space="preserve">Department</t>
  </si>
  <si>
    <t xml:space="preserve">EC1028</t>
  </si>
  <si>
    <t xml:space="preserve">Gaurav Pandey</t>
  </si>
  <si>
    <t xml:space="preserve">B.Tech ECE</t>
  </si>
  <si>
    <t xml:space="preserve">Electronics</t>
  </si>
  <si>
    <t xml:space="preserve">IT1087</t>
  </si>
  <si>
    <t xml:space="preserve">Varun Singh</t>
  </si>
  <si>
    <t xml:space="preserve">B.Sc IT</t>
  </si>
  <si>
    <t xml:space="preserve">Information Technology</t>
  </si>
  <si>
    <t xml:space="preserve">IT1097</t>
  </si>
  <si>
    <t xml:space="preserve">Gaurav Rao</t>
  </si>
  <si>
    <t xml:space="preserve">MCA</t>
  </si>
  <si>
    <t xml:space="preserve">ME1049</t>
  </si>
  <si>
    <t xml:space="preserve">Dhruv Bhatia</t>
  </si>
  <si>
    <t xml:space="preserve">B.Tech Auto</t>
  </si>
  <si>
    <t xml:space="preserve">Mechanical</t>
  </si>
  <si>
    <t xml:space="preserve">CS1006</t>
  </si>
  <si>
    <t xml:space="preserve">Pooja Das</t>
  </si>
  <si>
    <t xml:space="preserve">B.Tech CSE</t>
  </si>
  <si>
    <t xml:space="preserve">Computer Science</t>
  </si>
  <si>
    <t xml:space="preserve">CS1014</t>
  </si>
  <si>
    <t xml:space="preserve">Zara Bhatia</t>
  </si>
  <si>
    <t xml:space="preserve">ME1056</t>
  </si>
  <si>
    <t xml:space="preserve">Priya Singh</t>
  </si>
  <si>
    <t xml:space="preserve">B.Tech ME</t>
  </si>
  <si>
    <t xml:space="preserve">CE1075</t>
  </si>
  <si>
    <t xml:space="preserve">Komal Bajaj</t>
  </si>
  <si>
    <t xml:space="preserve">B.Tech Civil</t>
  </si>
  <si>
    <t xml:space="preserve">Civil</t>
  </si>
  <si>
    <t xml:space="preserve">CE1073</t>
  </si>
  <si>
    <t xml:space="preserve">Sandeep Reddy</t>
  </si>
  <si>
    <t xml:space="preserve">M.Tech Structural</t>
  </si>
  <si>
    <t xml:space="preserve">CS1007</t>
  </si>
  <si>
    <t xml:space="preserve">Kiran Choudhary</t>
  </si>
  <si>
    <t xml:space="preserve">CE1076</t>
  </si>
  <si>
    <t xml:space="preserve">Nikhil Sharma</t>
  </si>
  <si>
    <t xml:space="preserve">ME1057</t>
  </si>
  <si>
    <t xml:space="preserve">Rohit Patel</t>
  </si>
  <si>
    <t xml:space="preserve">CS1008</t>
  </si>
  <si>
    <t xml:space="preserve">Jyoti Kapoor</t>
  </si>
  <si>
    <t xml:space="preserve">M.Tech CSE</t>
  </si>
  <si>
    <t xml:space="preserve">CE1068</t>
  </si>
  <si>
    <t xml:space="preserve">Anjali Saxena</t>
  </si>
  <si>
    <t xml:space="preserve">B.Tech Env</t>
  </si>
  <si>
    <t xml:space="preserve">ME1046</t>
  </si>
  <si>
    <t xml:space="preserve">Pallavi Malhotra</t>
  </si>
  <si>
    <t xml:space="preserve">ME1042</t>
  </si>
  <si>
    <t xml:space="preserve">Rahul Roy</t>
  </si>
  <si>
    <t xml:space="preserve">IT1098</t>
  </si>
  <si>
    <t xml:space="preserve">Rohit Kumar</t>
  </si>
  <si>
    <t xml:space="preserve">CS1011</t>
  </si>
  <si>
    <t xml:space="preserve">Divya Mehta</t>
  </si>
  <si>
    <t xml:space="preserve">CS1017</t>
  </si>
  <si>
    <t xml:space="preserve">Mohit Singh</t>
  </si>
  <si>
    <t xml:space="preserve">ME1048</t>
  </si>
  <si>
    <t xml:space="preserve">Suresh Gupta</t>
  </si>
  <si>
    <t xml:space="preserve">M.Tech Thermal</t>
  </si>
  <si>
    <t xml:space="preserve">IT1090</t>
  </si>
  <si>
    <t xml:space="preserve">Kiran Joshi</t>
  </si>
  <si>
    <t xml:space="preserve">IT1092</t>
  </si>
  <si>
    <t xml:space="preserve">Divya Kumar</t>
  </si>
  <si>
    <t xml:space="preserve">B.Tech IT</t>
  </si>
  <si>
    <t xml:space="preserve">CS1005</t>
  </si>
  <si>
    <t xml:space="preserve">Lakshmi Agarwal</t>
  </si>
  <si>
    <t xml:space="preserve">CE1070</t>
  </si>
  <si>
    <t xml:space="preserve">Uday Bhatia</t>
  </si>
  <si>
    <t xml:space="preserve">ME1044</t>
  </si>
  <si>
    <t xml:space="preserve">Arun Reddy</t>
  </si>
  <si>
    <t xml:space="preserve">EC1034</t>
  </si>
  <si>
    <t xml:space="preserve">Rohit Rao</t>
  </si>
  <si>
    <t xml:space="preserve">ME1052</t>
  </si>
  <si>
    <t xml:space="preserve">Mohit Joshi</t>
  </si>
  <si>
    <t xml:space="preserve">EC1026</t>
  </si>
  <si>
    <t xml:space="preserve">Anjali Mishra</t>
  </si>
  <si>
    <t xml:space="preserve">B.Tech EEE</t>
  </si>
  <si>
    <t xml:space="preserve">ME1045</t>
  </si>
  <si>
    <t xml:space="preserve">Kiran Singh</t>
  </si>
  <si>
    <t xml:space="preserve">EC1037</t>
  </si>
  <si>
    <t xml:space="preserve">Bhavya Bhatia</t>
  </si>
  <si>
    <t xml:space="preserve">EC1024</t>
  </si>
  <si>
    <t xml:space="preserve">Rohit Choudhary</t>
  </si>
  <si>
    <t xml:space="preserve">EC1039</t>
  </si>
  <si>
    <t xml:space="preserve">Aarav Rao</t>
  </si>
  <si>
    <t xml:space="preserve">CS1003</t>
  </si>
  <si>
    <t xml:space="preserve">Sneha Gupta</t>
  </si>
  <si>
    <t xml:space="preserve">BCA</t>
  </si>
  <si>
    <t xml:space="preserve">EC1027</t>
  </si>
  <si>
    <t xml:space="preserve">Eshaan Choudhary</t>
  </si>
  <si>
    <t xml:space="preserve">IT1085</t>
  </si>
  <si>
    <t xml:space="preserve">Lakshmi Choudhary</t>
  </si>
  <si>
    <t xml:space="preserve">ME1041</t>
  </si>
  <si>
    <t xml:space="preserve">Akash Desai</t>
  </si>
  <si>
    <t xml:space="preserve">IT1083</t>
  </si>
  <si>
    <t xml:space="preserve">Bhavana Bose</t>
  </si>
  <si>
    <t xml:space="preserve">CS1013</t>
  </si>
  <si>
    <t xml:space="preserve">Uday Kumar</t>
  </si>
  <si>
    <t xml:space="preserve">IT1093</t>
  </si>
  <si>
    <t xml:space="preserve">Chetan Mishra</t>
  </si>
  <si>
    <t xml:space="preserve">EC1030</t>
  </si>
  <si>
    <t xml:space="preserve">Shreya Patel</t>
  </si>
  <si>
    <t xml:space="preserve">CE1069</t>
  </si>
  <si>
    <t xml:space="preserve">Deepa Pillai</t>
  </si>
  <si>
    <t xml:space="preserve">ME1055</t>
  </si>
  <si>
    <t xml:space="preserve">Varun Choudhary</t>
  </si>
  <si>
    <t xml:space="preserve">CE1065</t>
  </si>
  <si>
    <t xml:space="preserve">Tanvi Das</t>
  </si>
  <si>
    <t xml:space="preserve">IT1100</t>
  </si>
  <si>
    <t xml:space="preserve">Vijay Mishra</t>
  </si>
  <si>
    <t xml:space="preserve">EC1023</t>
  </si>
  <si>
    <t xml:space="preserve">Sakshi Singh</t>
  </si>
  <si>
    <t xml:space="preserve">M.Tech VLSI</t>
  </si>
  <si>
    <t xml:space="preserve">IT1095</t>
  </si>
  <si>
    <t xml:space="preserve">Tanvi Sharma</t>
  </si>
  <si>
    <t xml:space="preserve">IT1096</t>
  </si>
  <si>
    <t xml:space="preserve">Harini Das</t>
  </si>
  <si>
    <t xml:space="preserve">IT1086</t>
  </si>
  <si>
    <t xml:space="preserve">Divya Nair</t>
  </si>
  <si>
    <t xml:space="preserve">CS1010</t>
  </si>
  <si>
    <t xml:space="preserve">Manoj Kumar</t>
  </si>
  <si>
    <t xml:space="preserve">CE1074</t>
  </si>
  <si>
    <t xml:space="preserve">Manoj Roy</t>
  </si>
  <si>
    <t xml:space="preserve">ME1043</t>
  </si>
  <si>
    <t xml:space="preserve">Aditya Iyer</t>
  </si>
  <si>
    <t xml:space="preserve">ME1058</t>
  </si>
  <si>
    <t xml:space="preserve">Sneha Roy</t>
  </si>
  <si>
    <t xml:space="preserve">CE1080</t>
  </si>
  <si>
    <t xml:space="preserve">Nikhil Verma</t>
  </si>
  <si>
    <t xml:space="preserve">IT1082</t>
  </si>
  <si>
    <t xml:space="preserve">Eshaan Chatterjee</t>
  </si>
  <si>
    <t xml:space="preserve">ME1047</t>
  </si>
  <si>
    <t xml:space="preserve">Lakshmi Patel</t>
  </si>
  <si>
    <t xml:space="preserve">CE1072</t>
  </si>
  <si>
    <t xml:space="preserve">Arun Saxena</t>
  </si>
  <si>
    <t xml:space="preserve">CS1001</t>
  </si>
  <si>
    <t xml:space="preserve">Vijay Reddy</t>
  </si>
  <si>
    <t xml:space="preserve">IT1088</t>
  </si>
  <si>
    <t xml:space="preserve">Suresh Roy</t>
  </si>
  <si>
    <t xml:space="preserve">CE1067</t>
  </si>
  <si>
    <t xml:space="preserve">Rahul Mehta</t>
  </si>
  <si>
    <t xml:space="preserve">EC1033</t>
  </si>
  <si>
    <t xml:space="preserve">Neha Fernandez</t>
  </si>
  <si>
    <t xml:space="preserve">ME1051</t>
  </si>
  <si>
    <t xml:space="preserve">Deepa Gupta</t>
  </si>
  <si>
    <t xml:space="preserve">IT1084</t>
  </si>
  <si>
    <t xml:space="preserve">Eshaan Pillai</t>
  </si>
  <si>
    <t xml:space="preserve">EC1022</t>
  </si>
  <si>
    <t xml:space="preserve">Komal Mehta</t>
  </si>
  <si>
    <t xml:space="preserve">CE1077</t>
  </si>
  <si>
    <t xml:space="preserve">Uday Chopra</t>
  </si>
  <si>
    <t xml:space="preserve">EC1036</t>
  </si>
  <si>
    <t xml:space="preserve">Shreya Chopra</t>
  </si>
  <si>
    <t xml:space="preserve">CS1009</t>
  </si>
  <si>
    <t xml:space="preserve">Vijay Chopra</t>
  </si>
  <si>
    <t xml:space="preserve">CS1018</t>
  </si>
  <si>
    <t xml:space="preserve">Shreya Saxena</t>
  </si>
  <si>
    <t xml:space="preserve">CE1079</t>
  </si>
  <si>
    <t xml:space="preserve">Mohit Kapoor</t>
  </si>
  <si>
    <t xml:space="preserve">EC1025</t>
  </si>
  <si>
    <t xml:space="preserve">Komal Gupta</t>
  </si>
  <si>
    <t xml:space="preserve">ME1050</t>
  </si>
  <si>
    <t xml:space="preserve">Neha Kapoor</t>
  </si>
  <si>
    <t xml:space="preserve">CS1019</t>
  </si>
  <si>
    <t xml:space="preserve">Jyoti Fernandez</t>
  </si>
  <si>
    <t xml:space="preserve">IT1089</t>
  </si>
  <si>
    <t xml:space="preserve">Harini Bose</t>
  </si>
  <si>
    <t xml:space="preserve">ME1059</t>
  </si>
  <si>
    <t xml:space="preserve">Riya Mehta</t>
  </si>
  <si>
    <t xml:space="preserve">EC1032</t>
  </si>
  <si>
    <t xml:space="preserve">Chetan Desai</t>
  </si>
  <si>
    <t xml:space="preserve">CE1061</t>
  </si>
  <si>
    <t xml:space="preserve">Anjali Tiwari</t>
  </si>
  <si>
    <t xml:space="preserve">CE1062</t>
  </si>
  <si>
    <t xml:space="preserve">Farah Das</t>
  </si>
  <si>
    <t xml:space="preserve">ME1054</t>
  </si>
  <si>
    <t xml:space="preserve">Eshaan Singh</t>
  </si>
  <si>
    <t xml:space="preserve">EC1035</t>
  </si>
  <si>
    <t xml:space="preserve">Jyoti Chatterjee</t>
  </si>
  <si>
    <t xml:space="preserve">CE1066</t>
  </si>
  <si>
    <t xml:space="preserve">Lakshmi Pandey</t>
  </si>
  <si>
    <t xml:space="preserve">EC1038</t>
  </si>
  <si>
    <t xml:space="preserve">Vijay Choudhary</t>
  </si>
  <si>
    <t xml:space="preserve">CE1064</t>
  </si>
  <si>
    <t xml:space="preserve">Yamini Kapoor</t>
  </si>
  <si>
    <t xml:space="preserve">CS1020</t>
  </si>
  <si>
    <t xml:space="preserve">Shivam Mishra</t>
  </si>
  <si>
    <t xml:space="preserve">IT1099</t>
  </si>
  <si>
    <t xml:space="preserve">Aarav Kapoor</t>
  </si>
  <si>
    <t xml:space="preserve">ME1060</t>
  </si>
  <si>
    <t xml:space="preserve">Nikhil Rao</t>
  </si>
  <si>
    <t xml:space="preserve">CS1015</t>
  </si>
  <si>
    <t xml:space="preserve">Sanya Saxena</t>
  </si>
  <si>
    <t xml:space="preserve">EC1029</t>
  </si>
  <si>
    <t xml:space="preserve">Sneha Kapoor</t>
  </si>
  <si>
    <t xml:space="preserve">CS1012</t>
  </si>
  <si>
    <t xml:space="preserve">Deepa Chatterjee</t>
  </si>
  <si>
    <t xml:space="preserve">ME1053</t>
  </si>
  <si>
    <t xml:space="preserve">Dhruv Iyer</t>
  </si>
  <si>
    <t xml:space="preserve">IT1094</t>
  </si>
  <si>
    <t xml:space="preserve">Rajan Bhatia</t>
  </si>
  <si>
    <t xml:space="preserve">CS1002</t>
  </si>
  <si>
    <t xml:space="preserve">Shreya Kumar</t>
  </si>
  <si>
    <t xml:space="preserve">CE1071</t>
  </si>
  <si>
    <t xml:space="preserve">Zara Fernandez</t>
  </si>
  <si>
    <t xml:space="preserve">EC1040</t>
  </si>
  <si>
    <t xml:space="preserve">Divya Bose</t>
  </si>
  <si>
    <t xml:space="preserve">EC1021</t>
  </si>
  <si>
    <t xml:space="preserve">Kiran Sharma</t>
  </si>
  <si>
    <t xml:space="preserve">IT1091</t>
  </si>
  <si>
    <t xml:space="preserve">Vijay Das</t>
  </si>
  <si>
    <t xml:space="preserve">EC1031</t>
  </si>
  <si>
    <t xml:space="preserve">Gaurav Patel</t>
  </si>
  <si>
    <t xml:space="preserve">CE1078</t>
  </si>
  <si>
    <t xml:space="preserve">Komal Chopra</t>
  </si>
  <si>
    <t xml:space="preserve">IT1081</t>
  </si>
  <si>
    <t xml:space="preserve">Chetan Bhatia</t>
  </si>
  <si>
    <t xml:space="preserve">CS1004</t>
  </si>
  <si>
    <t xml:space="preserve">Manoj Nair</t>
  </si>
  <si>
    <t xml:space="preserve">CS1016</t>
  </si>
  <si>
    <t xml:space="preserve">Gaurav Bose</t>
  </si>
  <si>
    <t xml:space="preserve">CE1063</t>
  </si>
  <si>
    <t xml:space="preserve">Rahul Bose</t>
  </si>
  <si>
    <t xml:space="preserve">📊 OVERVIEW STATISTICS</t>
  </si>
  <si>
    <t xml:space="preserve">Total Students</t>
  </si>
  <si>
    <t xml:space="preserve">Average CGPA</t>
  </si>
  <si>
    <t xml:space="preserve">Highest CGPA</t>
  </si>
  <si>
    <t xml:space="preserve">Lowest CGPA</t>
  </si>
  <si>
    <t xml:space="preserve">Avg Attendance (%)</t>
  </si>
  <si>
    <t xml:space="preserve">Avg Marks</t>
  </si>
  <si>
    <t xml:space="preserve">Pass Rate (%)</t>
  </si>
  <si>
    <t xml:space="preserve">🏆 DEPARTMENT TOPPERS</t>
  </si>
  <si>
    <t xml:space="preserve">Topper Name</t>
  </si>
  <si>
    <t xml:space="preserve">Max CGPA</t>
  </si>
  <si>
    <t xml:space="preserve">📈 DEPARTMENT-WISE PASS RATE</t>
  </si>
  <si>
    <t xml:space="preserve">Passed</t>
  </si>
  <si>
    <t xml:space="preserve">Pass Rate %</t>
  </si>
  <si>
    <t xml:space="preserve">📉 CGPA BAND DISTRIBUTION</t>
  </si>
  <si>
    <t xml:space="preserve">CGPA Band</t>
  </si>
  <si>
    <t xml:space="preserve">Student Count</t>
  </si>
  <si>
    <t xml:space="preserve">Percentage %</t>
  </si>
  <si>
    <t xml:space="preserve">Outstanding (9.0–10.0)</t>
  </si>
  <si>
    <t xml:space="preserve">Excellent (8.0–8.99)</t>
  </si>
  <si>
    <t xml:space="preserve">Good (7.0–7.99)</t>
  </si>
  <si>
    <t xml:space="preserve">Average (6.0–6.99)</t>
  </si>
  <si>
    <t xml:space="preserve">Below Average (&lt;6.0)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</si>
</sst>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11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22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4" t="s">
        <v>9</v>
      </c>
      <c r="C2" s="3" t="s">
        <v>10</v>
      </c>
      <c r="D2" s="3" t="n">
        <v>7</v>
      </c>
      <c r="E2" s="3" t="n">
        <v>70</v>
      </c>
      <c r="F2" s="3" t="n">
        <v>67.7</v>
      </c>
      <c r="G2" s="3" t="n">
        <v>7.51</v>
      </c>
      <c r="H2" s="3" t="s">
        <v>11</v>
      </c>
    </row>
    <row r="3" customFormat="false" ht="15" hidden="false" customHeight="true" outlineLevel="0" collapsed="false">
      <c r="A3" s="5" t="s">
        <v>12</v>
      </c>
      <c r="B3" s="6" t="s">
        <v>13</v>
      </c>
      <c r="C3" s="5" t="s">
        <v>14</v>
      </c>
      <c r="D3" s="5" t="n">
        <v>7</v>
      </c>
      <c r="E3" s="5" t="n">
        <v>94</v>
      </c>
      <c r="F3" s="5" t="n">
        <v>68.2</v>
      </c>
      <c r="G3" s="5" t="n">
        <v>9.55</v>
      </c>
      <c r="H3" s="5" t="s">
        <v>15</v>
      </c>
    </row>
    <row r="4" customFormat="false" ht="15" hidden="false" customHeight="true" outlineLevel="0" collapsed="false">
      <c r="A4" s="3" t="s">
        <v>16</v>
      </c>
      <c r="B4" s="4" t="s">
        <v>17</v>
      </c>
      <c r="C4" s="3" t="s">
        <v>18</v>
      </c>
      <c r="D4" s="3" t="n">
        <v>8</v>
      </c>
      <c r="E4" s="3" t="n">
        <v>76</v>
      </c>
      <c r="F4" s="3" t="n">
        <v>97.1</v>
      </c>
      <c r="G4" s="3" t="n">
        <v>8.16</v>
      </c>
      <c r="H4" s="3" t="s">
        <v>15</v>
      </c>
    </row>
    <row r="5" customFormat="false" ht="15" hidden="false" customHeight="true" outlineLevel="0" collapsed="false">
      <c r="A5" s="5" t="s">
        <v>19</v>
      </c>
      <c r="B5" s="6" t="s">
        <v>20</v>
      </c>
      <c r="C5" s="5" t="s">
        <v>21</v>
      </c>
      <c r="D5" s="5" t="n">
        <v>4</v>
      </c>
      <c r="E5" s="5" t="n">
        <v>82</v>
      </c>
      <c r="F5" s="5" t="n">
        <v>58.1</v>
      </c>
      <c r="G5" s="5" t="n">
        <v>8.55</v>
      </c>
      <c r="H5" s="5" t="s">
        <v>22</v>
      </c>
    </row>
    <row r="6" customFormat="false" ht="15" hidden="false" customHeight="true" outlineLevel="0" collapsed="false">
      <c r="A6" s="3" t="s">
        <v>23</v>
      </c>
      <c r="B6" s="4" t="s">
        <v>24</v>
      </c>
      <c r="C6" s="3" t="s">
        <v>25</v>
      </c>
      <c r="D6" s="3" t="n">
        <v>2</v>
      </c>
      <c r="E6" s="3" t="n">
        <v>45</v>
      </c>
      <c r="F6" s="3" t="n">
        <v>65.1</v>
      </c>
      <c r="G6" s="3" t="n">
        <v>4.86</v>
      </c>
      <c r="H6" s="3" t="s">
        <v>26</v>
      </c>
    </row>
    <row r="7" customFormat="false" ht="15" hidden="false" customHeight="true" outlineLevel="0" collapsed="false">
      <c r="A7" s="5" t="s">
        <v>27</v>
      </c>
      <c r="B7" s="6" t="s">
        <v>28</v>
      </c>
      <c r="C7" s="5" t="s">
        <v>25</v>
      </c>
      <c r="D7" s="5" t="n">
        <v>5</v>
      </c>
      <c r="E7" s="5" t="n">
        <v>31</v>
      </c>
      <c r="F7" s="5" t="n">
        <v>46.6</v>
      </c>
      <c r="G7" s="5" t="n">
        <v>3.73</v>
      </c>
      <c r="H7" s="5" t="s">
        <v>26</v>
      </c>
    </row>
    <row r="8" customFormat="false" ht="15" hidden="false" customHeight="true" outlineLevel="0" collapsed="false">
      <c r="A8" s="3" t="s">
        <v>29</v>
      </c>
      <c r="B8" s="4" t="s">
        <v>30</v>
      </c>
      <c r="C8" s="3" t="s">
        <v>31</v>
      </c>
      <c r="D8" s="3" t="n">
        <v>1</v>
      </c>
      <c r="E8" s="3" t="n">
        <v>49</v>
      </c>
      <c r="F8" s="3" t="n">
        <v>64.7</v>
      </c>
      <c r="G8" s="3" t="n">
        <v>5.74</v>
      </c>
      <c r="H8" s="3" t="s">
        <v>22</v>
      </c>
    </row>
    <row r="9" customFormat="false" ht="15" hidden="false" customHeight="true" outlineLevel="0" collapsed="false">
      <c r="A9" s="5" t="s">
        <v>32</v>
      </c>
      <c r="B9" s="6" t="s">
        <v>33</v>
      </c>
      <c r="C9" s="5" t="s">
        <v>34</v>
      </c>
      <c r="D9" s="5" t="n">
        <v>5</v>
      </c>
      <c r="E9" s="5" t="n">
        <v>90</v>
      </c>
      <c r="F9" s="5" t="n">
        <v>88.4</v>
      </c>
      <c r="G9" s="5" t="n">
        <v>9.17</v>
      </c>
      <c r="H9" s="5" t="s">
        <v>35</v>
      </c>
    </row>
    <row r="10" customFormat="false" ht="15" hidden="false" customHeight="true" outlineLevel="0" collapsed="false">
      <c r="A10" s="3" t="s">
        <v>36</v>
      </c>
      <c r="B10" s="4" t="s">
        <v>37</v>
      </c>
      <c r="C10" s="3" t="s">
        <v>38</v>
      </c>
      <c r="D10" s="3" t="n">
        <v>6</v>
      </c>
      <c r="E10" s="3" t="n">
        <v>90</v>
      </c>
      <c r="F10" s="3" t="n">
        <v>74.4</v>
      </c>
      <c r="G10" s="3" t="n">
        <v>9.34</v>
      </c>
      <c r="H10" s="3" t="s">
        <v>35</v>
      </c>
    </row>
    <row r="11" customFormat="false" ht="15" hidden="false" customHeight="true" outlineLevel="0" collapsed="false">
      <c r="A11" s="5" t="s">
        <v>39</v>
      </c>
      <c r="B11" s="6" t="s">
        <v>40</v>
      </c>
      <c r="C11" s="5" t="s">
        <v>25</v>
      </c>
      <c r="D11" s="5" t="n">
        <v>7</v>
      </c>
      <c r="E11" s="5" t="n">
        <v>72</v>
      </c>
      <c r="F11" s="5" t="n">
        <v>83.3</v>
      </c>
      <c r="G11" s="5" t="n">
        <v>7.36</v>
      </c>
      <c r="H11" s="5" t="s">
        <v>26</v>
      </c>
    </row>
    <row r="12" customFormat="false" ht="15" hidden="false" customHeight="true" outlineLevel="0" collapsed="false">
      <c r="A12" s="3" t="s">
        <v>41</v>
      </c>
      <c r="B12" s="4" t="s">
        <v>42</v>
      </c>
      <c r="C12" s="3" t="s">
        <v>38</v>
      </c>
      <c r="D12" s="3" t="n">
        <v>6</v>
      </c>
      <c r="E12" s="3" t="n">
        <v>60</v>
      </c>
      <c r="F12" s="3" t="n">
        <v>64.4</v>
      </c>
      <c r="G12" s="3" t="n">
        <v>6.72</v>
      </c>
      <c r="H12" s="3" t="s">
        <v>35</v>
      </c>
    </row>
    <row r="13" customFormat="false" ht="15" hidden="false" customHeight="true" outlineLevel="0" collapsed="false">
      <c r="A13" s="5" t="s">
        <v>43</v>
      </c>
      <c r="B13" s="6" t="s">
        <v>44</v>
      </c>
      <c r="C13" s="5" t="s">
        <v>21</v>
      </c>
      <c r="D13" s="5" t="n">
        <v>4</v>
      </c>
      <c r="E13" s="5" t="n">
        <v>52</v>
      </c>
      <c r="F13" s="5" t="n">
        <v>60.9</v>
      </c>
      <c r="G13" s="5" t="n">
        <v>5.67</v>
      </c>
      <c r="H13" s="5" t="s">
        <v>22</v>
      </c>
    </row>
    <row r="14" customFormat="false" ht="15" hidden="false" customHeight="true" outlineLevel="0" collapsed="false">
      <c r="A14" s="3" t="s">
        <v>45</v>
      </c>
      <c r="B14" s="4" t="s">
        <v>46</v>
      </c>
      <c r="C14" s="3" t="s">
        <v>47</v>
      </c>
      <c r="D14" s="3" t="n">
        <v>2</v>
      </c>
      <c r="E14" s="3" t="n">
        <v>59</v>
      </c>
      <c r="F14" s="3" t="n">
        <v>87.4</v>
      </c>
      <c r="G14" s="3" t="n">
        <v>5.99</v>
      </c>
      <c r="H14" s="3" t="s">
        <v>26</v>
      </c>
    </row>
    <row r="15" customFormat="false" ht="15" hidden="false" customHeight="true" outlineLevel="0" collapsed="false">
      <c r="A15" s="5" t="s">
        <v>48</v>
      </c>
      <c r="B15" s="6" t="s">
        <v>49</v>
      </c>
      <c r="C15" s="5" t="s">
        <v>50</v>
      </c>
      <c r="D15" s="5" t="n">
        <v>1</v>
      </c>
      <c r="E15" s="5" t="n">
        <v>36</v>
      </c>
      <c r="F15" s="5" t="n">
        <v>63.9</v>
      </c>
      <c r="G15" s="5" t="n">
        <v>4</v>
      </c>
      <c r="H15" s="5" t="s">
        <v>35</v>
      </c>
    </row>
    <row r="16" customFormat="false" ht="15" hidden="false" customHeight="true" outlineLevel="0" collapsed="false">
      <c r="A16" s="3" t="s">
        <v>51</v>
      </c>
      <c r="B16" s="4" t="s">
        <v>52</v>
      </c>
      <c r="C16" s="3" t="s">
        <v>21</v>
      </c>
      <c r="D16" s="3" t="n">
        <v>7</v>
      </c>
      <c r="E16" s="3" t="n">
        <v>72</v>
      </c>
      <c r="F16" s="3" t="n">
        <v>60.1</v>
      </c>
      <c r="G16" s="3" t="n">
        <v>7.96</v>
      </c>
      <c r="H16" s="3" t="s">
        <v>22</v>
      </c>
    </row>
    <row r="17" customFormat="false" ht="15" hidden="false" customHeight="true" outlineLevel="0" collapsed="false">
      <c r="A17" s="5" t="s">
        <v>53</v>
      </c>
      <c r="B17" s="6" t="s">
        <v>54</v>
      </c>
      <c r="C17" s="5" t="s">
        <v>21</v>
      </c>
      <c r="D17" s="5" t="n">
        <v>3</v>
      </c>
      <c r="E17" s="5" t="n">
        <v>62</v>
      </c>
      <c r="F17" s="5" t="n">
        <v>98.4</v>
      </c>
      <c r="G17" s="5" t="n">
        <v>6.91</v>
      </c>
      <c r="H17" s="5" t="s">
        <v>22</v>
      </c>
    </row>
    <row r="18" customFormat="false" ht="15" hidden="false" customHeight="true" outlineLevel="0" collapsed="false">
      <c r="A18" s="3" t="s">
        <v>55</v>
      </c>
      <c r="B18" s="4" t="s">
        <v>56</v>
      </c>
      <c r="C18" s="3" t="s">
        <v>18</v>
      </c>
      <c r="D18" s="3" t="n">
        <v>5</v>
      </c>
      <c r="E18" s="3" t="n">
        <v>72</v>
      </c>
      <c r="F18" s="3" t="n">
        <v>98.2</v>
      </c>
      <c r="G18" s="3" t="n">
        <v>7.4</v>
      </c>
      <c r="H18" s="3" t="s">
        <v>15</v>
      </c>
    </row>
    <row r="19" customFormat="false" ht="15" hidden="false" customHeight="true" outlineLevel="0" collapsed="false">
      <c r="A19" s="5" t="s">
        <v>57</v>
      </c>
      <c r="B19" s="6" t="s">
        <v>58</v>
      </c>
      <c r="C19" s="5" t="s">
        <v>25</v>
      </c>
      <c r="D19" s="5" t="n">
        <v>4</v>
      </c>
      <c r="E19" s="5" t="n">
        <v>72</v>
      </c>
      <c r="F19" s="5" t="n">
        <v>74.1</v>
      </c>
      <c r="G19" s="5" t="n">
        <v>7.58</v>
      </c>
      <c r="H19" s="5" t="s">
        <v>26</v>
      </c>
    </row>
    <row r="20" customFormat="false" ht="15" hidden="false" customHeight="true" outlineLevel="0" collapsed="false">
      <c r="A20" s="3" t="s">
        <v>59</v>
      </c>
      <c r="B20" s="4" t="s">
        <v>60</v>
      </c>
      <c r="C20" s="3" t="s">
        <v>25</v>
      </c>
      <c r="D20" s="3" t="n">
        <v>4</v>
      </c>
      <c r="E20" s="3" t="n">
        <v>41</v>
      </c>
      <c r="F20" s="3" t="n">
        <v>87.6</v>
      </c>
      <c r="G20" s="3" t="n">
        <v>5.03</v>
      </c>
      <c r="H20" s="3" t="s">
        <v>26</v>
      </c>
    </row>
    <row r="21" customFormat="false" ht="15" hidden="false" customHeight="true" outlineLevel="0" collapsed="false">
      <c r="A21" s="5" t="s">
        <v>61</v>
      </c>
      <c r="B21" s="6" t="s">
        <v>62</v>
      </c>
      <c r="C21" s="5" t="s">
        <v>63</v>
      </c>
      <c r="D21" s="5" t="n">
        <v>1</v>
      </c>
      <c r="E21" s="5" t="n">
        <v>85</v>
      </c>
      <c r="F21" s="5" t="n">
        <v>78.1</v>
      </c>
      <c r="G21" s="5" t="n">
        <v>8.96</v>
      </c>
      <c r="H21" s="5" t="s">
        <v>22</v>
      </c>
    </row>
    <row r="22" customFormat="false" ht="15" hidden="false" customHeight="true" outlineLevel="0" collapsed="false">
      <c r="A22" s="3" t="s">
        <v>64</v>
      </c>
      <c r="B22" s="4" t="s">
        <v>65</v>
      </c>
      <c r="C22" s="3" t="s">
        <v>14</v>
      </c>
      <c r="D22" s="3" t="n">
        <v>5</v>
      </c>
      <c r="E22" s="3" t="n">
        <v>89</v>
      </c>
      <c r="F22" s="3" t="n">
        <v>85.6</v>
      </c>
      <c r="G22" s="3" t="n">
        <v>9.44</v>
      </c>
      <c r="H22" s="3" t="s">
        <v>15</v>
      </c>
    </row>
    <row r="23" customFormat="false" ht="15" hidden="false" customHeight="true" outlineLevel="0" collapsed="false">
      <c r="A23" s="5" t="s">
        <v>66</v>
      </c>
      <c r="B23" s="6" t="s">
        <v>67</v>
      </c>
      <c r="C23" s="5" t="s">
        <v>68</v>
      </c>
      <c r="D23" s="5" t="n">
        <v>3</v>
      </c>
      <c r="E23" s="5" t="n">
        <v>78</v>
      </c>
      <c r="F23" s="5" t="n">
        <v>88.3</v>
      </c>
      <c r="G23" s="5" t="n">
        <v>8.1</v>
      </c>
      <c r="H23" s="5" t="s">
        <v>15</v>
      </c>
    </row>
    <row r="24" customFormat="false" ht="15" hidden="false" customHeight="true" outlineLevel="0" collapsed="false">
      <c r="A24" s="3" t="s">
        <v>69</v>
      </c>
      <c r="B24" s="4" t="s">
        <v>70</v>
      </c>
      <c r="C24" s="3" t="s">
        <v>25</v>
      </c>
      <c r="D24" s="3" t="n">
        <v>8</v>
      </c>
      <c r="E24" s="3" t="n">
        <v>51</v>
      </c>
      <c r="F24" s="3" t="n">
        <v>58.5</v>
      </c>
      <c r="G24" s="3" t="n">
        <v>5.41</v>
      </c>
      <c r="H24" s="3" t="s">
        <v>26</v>
      </c>
    </row>
    <row r="25" customFormat="false" ht="15" hidden="false" customHeight="true" outlineLevel="0" collapsed="false">
      <c r="A25" s="5" t="s">
        <v>71</v>
      </c>
      <c r="B25" s="6" t="s">
        <v>72</v>
      </c>
      <c r="C25" s="5" t="s">
        <v>50</v>
      </c>
      <c r="D25" s="5" t="n">
        <v>2</v>
      </c>
      <c r="E25" s="5" t="n">
        <v>54</v>
      </c>
      <c r="F25" s="5" t="n">
        <v>59.8</v>
      </c>
      <c r="G25" s="5" t="n">
        <v>5.41</v>
      </c>
      <c r="H25" s="5" t="s">
        <v>35</v>
      </c>
    </row>
    <row r="26" customFormat="false" ht="15" hidden="false" customHeight="true" outlineLevel="0" collapsed="false">
      <c r="A26" s="3" t="s">
        <v>73</v>
      </c>
      <c r="B26" s="4" t="s">
        <v>74</v>
      </c>
      <c r="C26" s="3" t="s">
        <v>63</v>
      </c>
      <c r="D26" s="3" t="n">
        <v>1</v>
      </c>
      <c r="E26" s="3" t="n">
        <v>93</v>
      </c>
      <c r="F26" s="3" t="n">
        <v>63.9</v>
      </c>
      <c r="G26" s="3" t="n">
        <v>9.79</v>
      </c>
      <c r="H26" s="3" t="s">
        <v>22</v>
      </c>
    </row>
    <row r="27" customFormat="false" ht="15" hidden="false" customHeight="true" outlineLevel="0" collapsed="false">
      <c r="A27" s="5" t="s">
        <v>75</v>
      </c>
      <c r="B27" s="6" t="s">
        <v>76</v>
      </c>
      <c r="C27" s="5" t="s">
        <v>10</v>
      </c>
      <c r="D27" s="5" t="n">
        <v>1</v>
      </c>
      <c r="E27" s="5" t="n">
        <v>97</v>
      </c>
      <c r="F27" s="5" t="n">
        <v>99.4</v>
      </c>
      <c r="G27" s="5" t="n">
        <v>10</v>
      </c>
      <c r="H27" s="5" t="s">
        <v>11</v>
      </c>
    </row>
    <row r="28" customFormat="false" ht="15" hidden="false" customHeight="true" outlineLevel="0" collapsed="false">
      <c r="A28" s="3" t="s">
        <v>77</v>
      </c>
      <c r="B28" s="4" t="s">
        <v>78</v>
      </c>
      <c r="C28" s="3" t="s">
        <v>31</v>
      </c>
      <c r="D28" s="3" t="n">
        <v>7</v>
      </c>
      <c r="E28" s="3" t="n">
        <v>78</v>
      </c>
      <c r="F28" s="3" t="n">
        <v>74.7</v>
      </c>
      <c r="G28" s="3" t="n">
        <v>8.21</v>
      </c>
      <c r="H28" s="3" t="s">
        <v>22</v>
      </c>
    </row>
    <row r="29" customFormat="false" ht="15" hidden="false" customHeight="true" outlineLevel="0" collapsed="false">
      <c r="A29" s="5" t="s">
        <v>79</v>
      </c>
      <c r="B29" s="6" t="s">
        <v>80</v>
      </c>
      <c r="C29" s="5" t="s">
        <v>81</v>
      </c>
      <c r="D29" s="5" t="n">
        <v>2</v>
      </c>
      <c r="E29" s="5" t="n">
        <v>46</v>
      </c>
      <c r="F29" s="5" t="n">
        <v>99.5</v>
      </c>
      <c r="G29" s="5" t="n">
        <v>5.5</v>
      </c>
      <c r="H29" s="5" t="s">
        <v>11</v>
      </c>
    </row>
    <row r="30" customFormat="false" ht="15" hidden="false" customHeight="true" outlineLevel="0" collapsed="false">
      <c r="A30" s="3" t="s">
        <v>82</v>
      </c>
      <c r="B30" s="4" t="s">
        <v>83</v>
      </c>
      <c r="C30" s="3" t="s">
        <v>31</v>
      </c>
      <c r="D30" s="3" t="n">
        <v>4</v>
      </c>
      <c r="E30" s="3" t="n">
        <v>86</v>
      </c>
      <c r="F30" s="3" t="n">
        <v>67.4</v>
      </c>
      <c r="G30" s="3" t="n">
        <v>8.32</v>
      </c>
      <c r="H30" s="3" t="s">
        <v>22</v>
      </c>
    </row>
    <row r="31" customFormat="false" ht="15" hidden="false" customHeight="true" outlineLevel="0" collapsed="false">
      <c r="A31" s="5" t="s">
        <v>84</v>
      </c>
      <c r="B31" s="6" t="s">
        <v>85</v>
      </c>
      <c r="C31" s="5" t="s">
        <v>81</v>
      </c>
      <c r="D31" s="5" t="n">
        <v>3</v>
      </c>
      <c r="E31" s="5" t="n">
        <v>68</v>
      </c>
      <c r="F31" s="5" t="n">
        <v>81.9</v>
      </c>
      <c r="G31" s="5" t="n">
        <v>7.35</v>
      </c>
      <c r="H31" s="5" t="s">
        <v>11</v>
      </c>
    </row>
    <row r="32" customFormat="false" ht="15" hidden="false" customHeight="true" outlineLevel="0" collapsed="false">
      <c r="A32" s="3" t="s">
        <v>86</v>
      </c>
      <c r="B32" s="4" t="s">
        <v>87</v>
      </c>
      <c r="C32" s="3" t="s">
        <v>81</v>
      </c>
      <c r="D32" s="3" t="n">
        <v>1</v>
      </c>
      <c r="E32" s="3" t="n">
        <v>42</v>
      </c>
      <c r="F32" s="3" t="n">
        <v>72.9</v>
      </c>
      <c r="G32" s="3" t="n">
        <v>4.65</v>
      </c>
      <c r="H32" s="3" t="s">
        <v>11</v>
      </c>
    </row>
    <row r="33" customFormat="false" ht="15" hidden="false" customHeight="true" outlineLevel="0" collapsed="false">
      <c r="A33" s="5" t="s">
        <v>88</v>
      </c>
      <c r="B33" s="6" t="s">
        <v>89</v>
      </c>
      <c r="C33" s="5" t="s">
        <v>10</v>
      </c>
      <c r="D33" s="5" t="n">
        <v>5</v>
      </c>
      <c r="E33" s="5" t="n">
        <v>21</v>
      </c>
      <c r="F33" s="5" t="n">
        <v>57.3</v>
      </c>
      <c r="G33" s="5" t="n">
        <v>3.82</v>
      </c>
      <c r="H33" s="5" t="s">
        <v>11</v>
      </c>
    </row>
    <row r="34" customFormat="false" ht="15" hidden="false" customHeight="true" outlineLevel="0" collapsed="false">
      <c r="A34" s="3" t="s">
        <v>90</v>
      </c>
      <c r="B34" s="4" t="s">
        <v>91</v>
      </c>
      <c r="C34" s="3" t="s">
        <v>92</v>
      </c>
      <c r="D34" s="3" t="n">
        <v>7</v>
      </c>
      <c r="E34" s="3" t="n">
        <v>32</v>
      </c>
      <c r="F34" s="3" t="n">
        <v>50.6</v>
      </c>
      <c r="G34" s="3" t="n">
        <v>2.72</v>
      </c>
      <c r="H34" s="3" t="s">
        <v>26</v>
      </c>
    </row>
    <row r="35" customFormat="false" ht="15" hidden="false" customHeight="true" outlineLevel="0" collapsed="false">
      <c r="A35" s="5" t="s">
        <v>93</v>
      </c>
      <c r="B35" s="6" t="s">
        <v>94</v>
      </c>
      <c r="C35" s="5" t="s">
        <v>10</v>
      </c>
      <c r="D35" s="5" t="n">
        <v>3</v>
      </c>
      <c r="E35" s="5" t="n">
        <v>89</v>
      </c>
      <c r="F35" s="5" t="n">
        <v>76.4</v>
      </c>
      <c r="G35" s="5" t="n">
        <v>9.38</v>
      </c>
      <c r="H35" s="5" t="s">
        <v>11</v>
      </c>
    </row>
    <row r="36" customFormat="false" ht="15" hidden="false" customHeight="true" outlineLevel="0" collapsed="false">
      <c r="A36" s="3" t="s">
        <v>95</v>
      </c>
      <c r="B36" s="4" t="s">
        <v>96</v>
      </c>
      <c r="C36" s="3" t="s">
        <v>18</v>
      </c>
      <c r="D36" s="3" t="n">
        <v>2</v>
      </c>
      <c r="E36" s="3" t="n">
        <v>44</v>
      </c>
      <c r="F36" s="3" t="n">
        <v>76.9</v>
      </c>
      <c r="G36" s="3" t="n">
        <v>5.06</v>
      </c>
      <c r="H36" s="3" t="s">
        <v>15</v>
      </c>
    </row>
    <row r="37" customFormat="false" ht="15" hidden="false" customHeight="true" outlineLevel="0" collapsed="false">
      <c r="A37" s="5" t="s">
        <v>97</v>
      </c>
      <c r="B37" s="6" t="s">
        <v>98</v>
      </c>
      <c r="C37" s="5" t="s">
        <v>63</v>
      </c>
      <c r="D37" s="5" t="n">
        <v>4</v>
      </c>
      <c r="E37" s="5" t="n">
        <v>71</v>
      </c>
      <c r="F37" s="5" t="n">
        <v>59.6</v>
      </c>
      <c r="G37" s="5" t="n">
        <v>7.68</v>
      </c>
      <c r="H37" s="5" t="s">
        <v>22</v>
      </c>
    </row>
    <row r="38" customFormat="false" ht="15" hidden="false" customHeight="true" outlineLevel="0" collapsed="false">
      <c r="A38" s="3" t="s">
        <v>99</v>
      </c>
      <c r="B38" s="4" t="s">
        <v>100</v>
      </c>
      <c r="C38" s="3" t="s">
        <v>68</v>
      </c>
      <c r="D38" s="3" t="n">
        <v>5</v>
      </c>
      <c r="E38" s="3" t="n">
        <v>35</v>
      </c>
      <c r="F38" s="3" t="n">
        <v>79.6</v>
      </c>
      <c r="G38" s="3" t="n">
        <v>4.38</v>
      </c>
      <c r="H38" s="3" t="s">
        <v>15</v>
      </c>
    </row>
    <row r="39" customFormat="false" ht="15" hidden="false" customHeight="true" outlineLevel="0" collapsed="false">
      <c r="A39" s="5" t="s">
        <v>101</v>
      </c>
      <c r="B39" s="6" t="s">
        <v>102</v>
      </c>
      <c r="C39" s="5" t="s">
        <v>47</v>
      </c>
      <c r="D39" s="5" t="n">
        <v>7</v>
      </c>
      <c r="E39" s="5" t="n">
        <v>97</v>
      </c>
      <c r="F39" s="5" t="n">
        <v>66.2</v>
      </c>
      <c r="G39" s="5" t="n">
        <v>9.78</v>
      </c>
      <c r="H39" s="5" t="s">
        <v>26</v>
      </c>
    </row>
    <row r="40" customFormat="false" ht="15" hidden="false" customHeight="true" outlineLevel="0" collapsed="false">
      <c r="A40" s="3" t="s">
        <v>103</v>
      </c>
      <c r="B40" s="4" t="s">
        <v>104</v>
      </c>
      <c r="C40" s="3" t="s">
        <v>14</v>
      </c>
      <c r="D40" s="3" t="n">
        <v>5</v>
      </c>
      <c r="E40" s="3" t="n">
        <v>85</v>
      </c>
      <c r="F40" s="3" t="n">
        <v>77.3</v>
      </c>
      <c r="G40" s="3" t="n">
        <v>8.65</v>
      </c>
      <c r="H40" s="3" t="s">
        <v>15</v>
      </c>
    </row>
    <row r="41" customFormat="false" ht="15" hidden="false" customHeight="true" outlineLevel="0" collapsed="false">
      <c r="A41" s="5" t="s">
        <v>105</v>
      </c>
      <c r="B41" s="6" t="s">
        <v>106</v>
      </c>
      <c r="C41" s="5" t="s">
        <v>81</v>
      </c>
      <c r="D41" s="5" t="n">
        <v>6</v>
      </c>
      <c r="E41" s="5" t="n">
        <v>37</v>
      </c>
      <c r="F41" s="5" t="n">
        <v>81</v>
      </c>
      <c r="G41" s="5" t="n">
        <v>4.36</v>
      </c>
      <c r="H41" s="5" t="s">
        <v>11</v>
      </c>
    </row>
    <row r="42" customFormat="false" ht="15" hidden="false" customHeight="true" outlineLevel="0" collapsed="false">
      <c r="A42" s="3" t="s">
        <v>107</v>
      </c>
      <c r="B42" s="4" t="s">
        <v>108</v>
      </c>
      <c r="C42" s="3" t="s">
        <v>50</v>
      </c>
      <c r="D42" s="3" t="n">
        <v>2</v>
      </c>
      <c r="E42" s="3" t="n">
        <v>64</v>
      </c>
      <c r="F42" s="3" t="n">
        <v>86.1</v>
      </c>
      <c r="G42" s="3" t="n">
        <v>7.04</v>
      </c>
      <c r="H42" s="3" t="s">
        <v>35</v>
      </c>
    </row>
    <row r="43" customFormat="false" ht="15" hidden="false" customHeight="true" outlineLevel="0" collapsed="false">
      <c r="A43" s="5" t="s">
        <v>109</v>
      </c>
      <c r="B43" s="6" t="s">
        <v>110</v>
      </c>
      <c r="C43" s="5" t="s">
        <v>31</v>
      </c>
      <c r="D43" s="5" t="n">
        <v>8</v>
      </c>
      <c r="E43" s="5" t="n">
        <v>93</v>
      </c>
      <c r="F43" s="5" t="n">
        <v>80.6</v>
      </c>
      <c r="G43" s="5" t="n">
        <v>9.59</v>
      </c>
      <c r="H43" s="5" t="s">
        <v>22</v>
      </c>
    </row>
    <row r="44" customFormat="false" ht="15" hidden="false" customHeight="true" outlineLevel="0" collapsed="false">
      <c r="A44" s="3" t="s">
        <v>111</v>
      </c>
      <c r="B44" s="4" t="s">
        <v>112</v>
      </c>
      <c r="C44" s="3" t="s">
        <v>50</v>
      </c>
      <c r="D44" s="3" t="n">
        <v>1</v>
      </c>
      <c r="E44" s="3" t="n">
        <v>50</v>
      </c>
      <c r="F44" s="3" t="n">
        <v>74.1</v>
      </c>
      <c r="G44" s="3" t="n">
        <v>5.89</v>
      </c>
      <c r="H44" s="3" t="s">
        <v>35</v>
      </c>
    </row>
    <row r="45" customFormat="false" ht="15" hidden="false" customHeight="true" outlineLevel="0" collapsed="false">
      <c r="A45" s="5" t="s">
        <v>113</v>
      </c>
      <c r="B45" s="6" t="s">
        <v>114</v>
      </c>
      <c r="C45" s="5" t="s">
        <v>68</v>
      </c>
      <c r="D45" s="5" t="n">
        <v>4</v>
      </c>
      <c r="E45" s="5" t="n">
        <v>72</v>
      </c>
      <c r="F45" s="5" t="n">
        <v>60.8</v>
      </c>
      <c r="G45" s="5" t="n">
        <v>7.28</v>
      </c>
      <c r="H45" s="5" t="s">
        <v>15</v>
      </c>
    </row>
    <row r="46" customFormat="false" ht="15" hidden="false" customHeight="true" outlineLevel="0" collapsed="false">
      <c r="A46" s="3" t="s">
        <v>115</v>
      </c>
      <c r="B46" s="4" t="s">
        <v>116</v>
      </c>
      <c r="C46" s="3" t="s">
        <v>117</v>
      </c>
      <c r="D46" s="3" t="n">
        <v>7</v>
      </c>
      <c r="E46" s="3" t="n">
        <v>55</v>
      </c>
      <c r="F46" s="3" t="n">
        <v>59.3</v>
      </c>
      <c r="G46" s="3" t="n">
        <v>5.9</v>
      </c>
      <c r="H46" s="3" t="s">
        <v>11</v>
      </c>
    </row>
    <row r="47" customFormat="false" ht="15" hidden="false" customHeight="true" outlineLevel="0" collapsed="false">
      <c r="A47" s="5" t="s">
        <v>118</v>
      </c>
      <c r="B47" s="6" t="s">
        <v>119</v>
      </c>
      <c r="C47" s="5" t="s">
        <v>14</v>
      </c>
      <c r="D47" s="5" t="n">
        <v>5</v>
      </c>
      <c r="E47" s="5" t="n">
        <v>37</v>
      </c>
      <c r="F47" s="5" t="n">
        <v>75.9</v>
      </c>
      <c r="G47" s="5" t="n">
        <v>4.51</v>
      </c>
      <c r="H47" s="5" t="s">
        <v>15</v>
      </c>
    </row>
    <row r="48" customFormat="false" ht="15" hidden="false" customHeight="true" outlineLevel="0" collapsed="false">
      <c r="A48" s="3" t="s">
        <v>120</v>
      </c>
      <c r="B48" s="4" t="s">
        <v>121</v>
      </c>
      <c r="C48" s="3" t="s">
        <v>18</v>
      </c>
      <c r="D48" s="3" t="n">
        <v>8</v>
      </c>
      <c r="E48" s="3" t="n">
        <v>48</v>
      </c>
      <c r="F48" s="3" t="n">
        <v>70.5</v>
      </c>
      <c r="G48" s="3" t="n">
        <v>5.18</v>
      </c>
      <c r="H48" s="3" t="s">
        <v>15</v>
      </c>
    </row>
    <row r="49" customFormat="false" ht="15" hidden="false" customHeight="true" outlineLevel="0" collapsed="false">
      <c r="A49" s="5" t="s">
        <v>122</v>
      </c>
      <c r="B49" s="6" t="s">
        <v>123</v>
      </c>
      <c r="C49" s="5" t="s">
        <v>14</v>
      </c>
      <c r="D49" s="5" t="n">
        <v>5</v>
      </c>
      <c r="E49" s="5" t="n">
        <v>43</v>
      </c>
      <c r="F49" s="5" t="n">
        <v>60.3</v>
      </c>
      <c r="G49" s="5" t="n">
        <v>5.16</v>
      </c>
      <c r="H49" s="5" t="s">
        <v>15</v>
      </c>
    </row>
    <row r="50" customFormat="false" ht="15" hidden="false" customHeight="true" outlineLevel="0" collapsed="false">
      <c r="A50" s="3" t="s">
        <v>124</v>
      </c>
      <c r="B50" s="4" t="s">
        <v>125</v>
      </c>
      <c r="C50" s="3" t="s">
        <v>25</v>
      </c>
      <c r="D50" s="3" t="n">
        <v>6</v>
      </c>
      <c r="E50" s="3" t="n">
        <v>67</v>
      </c>
      <c r="F50" s="3" t="n">
        <v>77.2</v>
      </c>
      <c r="G50" s="3" t="n">
        <v>7.43</v>
      </c>
      <c r="H50" s="3" t="s">
        <v>26</v>
      </c>
    </row>
    <row r="51" customFormat="false" ht="15" hidden="false" customHeight="true" outlineLevel="0" collapsed="false">
      <c r="A51" s="5" t="s">
        <v>126</v>
      </c>
      <c r="B51" s="6" t="s">
        <v>127</v>
      </c>
      <c r="C51" s="5" t="s">
        <v>50</v>
      </c>
      <c r="D51" s="5" t="n">
        <v>8</v>
      </c>
      <c r="E51" s="5" t="n">
        <v>95</v>
      </c>
      <c r="F51" s="5" t="n">
        <v>91.7</v>
      </c>
      <c r="G51" s="5" t="n">
        <v>9.64</v>
      </c>
      <c r="H51" s="5" t="s">
        <v>35</v>
      </c>
    </row>
    <row r="52" customFormat="false" ht="15" hidden="false" customHeight="true" outlineLevel="0" collapsed="false">
      <c r="A52" s="3" t="s">
        <v>128</v>
      </c>
      <c r="B52" s="4" t="s">
        <v>129</v>
      </c>
      <c r="C52" s="3" t="s">
        <v>21</v>
      </c>
      <c r="D52" s="3" t="n">
        <v>6</v>
      </c>
      <c r="E52" s="3" t="n">
        <v>92</v>
      </c>
      <c r="F52" s="3" t="n">
        <v>93.5</v>
      </c>
      <c r="G52" s="3" t="n">
        <v>9.59</v>
      </c>
      <c r="H52" s="3" t="s">
        <v>22</v>
      </c>
    </row>
    <row r="53" customFormat="false" ht="15" hidden="false" customHeight="true" outlineLevel="0" collapsed="false">
      <c r="A53" s="5" t="s">
        <v>130</v>
      </c>
      <c r="B53" s="6" t="s">
        <v>131</v>
      </c>
      <c r="C53" s="5" t="s">
        <v>63</v>
      </c>
      <c r="D53" s="5" t="n">
        <v>8</v>
      </c>
      <c r="E53" s="5" t="n">
        <v>92</v>
      </c>
      <c r="F53" s="5" t="n">
        <v>74.8</v>
      </c>
      <c r="G53" s="5" t="n">
        <v>8.94</v>
      </c>
      <c r="H53" s="5" t="s">
        <v>22</v>
      </c>
    </row>
    <row r="54" customFormat="false" ht="15" hidden="false" customHeight="true" outlineLevel="0" collapsed="false">
      <c r="A54" s="3" t="s">
        <v>132</v>
      </c>
      <c r="B54" s="4" t="s">
        <v>133</v>
      </c>
      <c r="C54" s="3" t="s">
        <v>50</v>
      </c>
      <c r="D54" s="3" t="n">
        <v>8</v>
      </c>
      <c r="E54" s="3" t="n">
        <v>68</v>
      </c>
      <c r="F54" s="3" t="n">
        <v>66.2</v>
      </c>
      <c r="G54" s="3" t="n">
        <v>6.75</v>
      </c>
      <c r="H54" s="3" t="s">
        <v>35</v>
      </c>
    </row>
    <row r="55" customFormat="false" ht="15" hidden="false" customHeight="true" outlineLevel="0" collapsed="false">
      <c r="A55" s="5" t="s">
        <v>134</v>
      </c>
      <c r="B55" s="6" t="s">
        <v>135</v>
      </c>
      <c r="C55" s="5" t="s">
        <v>14</v>
      </c>
      <c r="D55" s="5" t="n">
        <v>5</v>
      </c>
      <c r="E55" s="5" t="n">
        <v>45</v>
      </c>
      <c r="F55" s="5" t="n">
        <v>68.2</v>
      </c>
      <c r="G55" s="5" t="n">
        <v>4.94</v>
      </c>
      <c r="H55" s="5" t="s">
        <v>15</v>
      </c>
    </row>
    <row r="56" customFormat="false" ht="15" hidden="false" customHeight="true" outlineLevel="0" collapsed="false">
      <c r="A56" s="3" t="s">
        <v>136</v>
      </c>
      <c r="B56" s="4" t="s">
        <v>137</v>
      </c>
      <c r="C56" s="3" t="s">
        <v>31</v>
      </c>
      <c r="D56" s="3" t="n">
        <v>7</v>
      </c>
      <c r="E56" s="3" t="n">
        <v>79</v>
      </c>
      <c r="F56" s="3" t="n">
        <v>74.4</v>
      </c>
      <c r="G56" s="3" t="n">
        <v>8.6</v>
      </c>
      <c r="H56" s="3" t="s">
        <v>22</v>
      </c>
    </row>
    <row r="57" customFormat="false" ht="15" hidden="false" customHeight="true" outlineLevel="0" collapsed="false">
      <c r="A57" s="5" t="s">
        <v>138</v>
      </c>
      <c r="B57" s="6" t="s">
        <v>139</v>
      </c>
      <c r="C57" s="5" t="s">
        <v>38</v>
      </c>
      <c r="D57" s="5" t="n">
        <v>2</v>
      </c>
      <c r="E57" s="5" t="n">
        <v>30</v>
      </c>
      <c r="F57" s="5" t="n">
        <v>61.2</v>
      </c>
      <c r="G57" s="5" t="n">
        <v>2.98</v>
      </c>
      <c r="H57" s="5" t="s">
        <v>35</v>
      </c>
    </row>
    <row r="58" customFormat="false" ht="15" hidden="false" customHeight="true" outlineLevel="0" collapsed="false">
      <c r="A58" s="3" t="s">
        <v>140</v>
      </c>
      <c r="B58" s="4" t="s">
        <v>141</v>
      </c>
      <c r="C58" s="3" t="s">
        <v>25</v>
      </c>
      <c r="D58" s="3" t="n">
        <v>5</v>
      </c>
      <c r="E58" s="3" t="n">
        <v>64</v>
      </c>
      <c r="F58" s="3" t="n">
        <v>61.2</v>
      </c>
      <c r="G58" s="3" t="n">
        <v>6.38</v>
      </c>
      <c r="H58" s="3" t="s">
        <v>26</v>
      </c>
    </row>
    <row r="59" customFormat="false" ht="15" hidden="false" customHeight="true" outlineLevel="0" collapsed="false">
      <c r="A59" s="5" t="s">
        <v>142</v>
      </c>
      <c r="B59" s="6" t="s">
        <v>143</v>
      </c>
      <c r="C59" s="5" t="s">
        <v>68</v>
      </c>
      <c r="D59" s="5" t="n">
        <v>2</v>
      </c>
      <c r="E59" s="5" t="n">
        <v>66</v>
      </c>
      <c r="F59" s="5" t="n">
        <v>64.4</v>
      </c>
      <c r="G59" s="5" t="n">
        <v>7.12</v>
      </c>
      <c r="H59" s="5" t="s">
        <v>15</v>
      </c>
    </row>
    <row r="60" customFormat="false" ht="15" hidden="false" customHeight="true" outlineLevel="0" collapsed="false">
      <c r="A60" s="3" t="s">
        <v>144</v>
      </c>
      <c r="B60" s="4" t="s">
        <v>145</v>
      </c>
      <c r="C60" s="3" t="s">
        <v>34</v>
      </c>
      <c r="D60" s="3" t="n">
        <v>8</v>
      </c>
      <c r="E60" s="3" t="n">
        <v>40</v>
      </c>
      <c r="F60" s="3" t="n">
        <v>57.3</v>
      </c>
      <c r="G60" s="3" t="n">
        <v>5.08</v>
      </c>
      <c r="H60" s="3" t="s">
        <v>35</v>
      </c>
    </row>
    <row r="61" customFormat="false" ht="15" hidden="false" customHeight="true" outlineLevel="0" collapsed="false">
      <c r="A61" s="5" t="s">
        <v>146</v>
      </c>
      <c r="B61" s="6" t="s">
        <v>147</v>
      </c>
      <c r="C61" s="5" t="s">
        <v>117</v>
      </c>
      <c r="D61" s="5" t="n">
        <v>4</v>
      </c>
      <c r="E61" s="5" t="n">
        <v>73</v>
      </c>
      <c r="F61" s="5" t="n">
        <v>66.8</v>
      </c>
      <c r="G61" s="5" t="n">
        <v>7.21</v>
      </c>
      <c r="H61" s="5" t="s">
        <v>11</v>
      </c>
    </row>
    <row r="62" customFormat="false" ht="15" hidden="false" customHeight="true" outlineLevel="0" collapsed="false">
      <c r="A62" s="3" t="s">
        <v>148</v>
      </c>
      <c r="B62" s="4" t="s">
        <v>149</v>
      </c>
      <c r="C62" s="3" t="s">
        <v>63</v>
      </c>
      <c r="D62" s="3" t="n">
        <v>7</v>
      </c>
      <c r="E62" s="3" t="n">
        <v>61</v>
      </c>
      <c r="F62" s="3" t="n">
        <v>80.3</v>
      </c>
      <c r="G62" s="3" t="n">
        <v>6.41</v>
      </c>
      <c r="H62" s="3" t="s">
        <v>22</v>
      </c>
    </row>
    <row r="63" customFormat="false" ht="15" hidden="false" customHeight="true" outlineLevel="0" collapsed="false">
      <c r="A63" s="5" t="s">
        <v>150</v>
      </c>
      <c r="B63" s="6" t="s">
        <v>151</v>
      </c>
      <c r="C63" s="5" t="s">
        <v>68</v>
      </c>
      <c r="D63" s="5" t="n">
        <v>1</v>
      </c>
      <c r="E63" s="5" t="n">
        <v>73</v>
      </c>
      <c r="F63" s="5" t="n">
        <v>76.3</v>
      </c>
      <c r="G63" s="5" t="n">
        <v>7.42</v>
      </c>
      <c r="H63" s="5" t="s">
        <v>15</v>
      </c>
    </row>
    <row r="64" customFormat="false" ht="15" hidden="false" customHeight="true" outlineLevel="0" collapsed="false">
      <c r="A64" s="3" t="s">
        <v>152</v>
      </c>
      <c r="B64" s="4" t="s">
        <v>153</v>
      </c>
      <c r="C64" s="3" t="s">
        <v>81</v>
      </c>
      <c r="D64" s="3" t="n">
        <v>8</v>
      </c>
      <c r="E64" s="3" t="n">
        <v>65</v>
      </c>
      <c r="F64" s="3" t="n">
        <v>60.9</v>
      </c>
      <c r="G64" s="3" t="n">
        <v>7.3</v>
      </c>
      <c r="H64" s="3" t="s">
        <v>11</v>
      </c>
    </row>
    <row r="65" customFormat="false" ht="15" hidden="false" customHeight="true" outlineLevel="0" collapsed="false">
      <c r="A65" s="5" t="s">
        <v>154</v>
      </c>
      <c r="B65" s="6" t="s">
        <v>155</v>
      </c>
      <c r="C65" s="5" t="s">
        <v>38</v>
      </c>
      <c r="D65" s="5" t="n">
        <v>1</v>
      </c>
      <c r="E65" s="5" t="n">
        <v>55</v>
      </c>
      <c r="F65" s="5" t="n">
        <v>65.7</v>
      </c>
      <c r="G65" s="5" t="n">
        <v>5.88</v>
      </c>
      <c r="H65" s="5" t="s">
        <v>35</v>
      </c>
    </row>
    <row r="66" customFormat="false" ht="15" hidden="false" customHeight="true" outlineLevel="0" collapsed="false">
      <c r="A66" s="3" t="s">
        <v>156</v>
      </c>
      <c r="B66" s="4" t="s">
        <v>157</v>
      </c>
      <c r="C66" s="3" t="s">
        <v>117</v>
      </c>
      <c r="D66" s="3" t="n">
        <v>1</v>
      </c>
      <c r="E66" s="3" t="n">
        <v>78</v>
      </c>
      <c r="F66" s="3" t="n">
        <v>59.6</v>
      </c>
      <c r="G66" s="3" t="n">
        <v>8.41</v>
      </c>
      <c r="H66" s="3" t="s">
        <v>11</v>
      </c>
    </row>
    <row r="67" customFormat="false" ht="15" hidden="false" customHeight="true" outlineLevel="0" collapsed="false">
      <c r="A67" s="5" t="s">
        <v>158</v>
      </c>
      <c r="B67" s="6" t="s">
        <v>159</v>
      </c>
      <c r="C67" s="5" t="s">
        <v>92</v>
      </c>
      <c r="D67" s="5" t="n">
        <v>4</v>
      </c>
      <c r="E67" s="5" t="n">
        <v>71</v>
      </c>
      <c r="F67" s="5" t="n">
        <v>65.2</v>
      </c>
      <c r="G67" s="5" t="n">
        <v>6.94</v>
      </c>
      <c r="H67" s="5" t="s">
        <v>26</v>
      </c>
    </row>
    <row r="68" customFormat="false" ht="15" hidden="false" customHeight="true" outlineLevel="0" collapsed="false">
      <c r="A68" s="3" t="s">
        <v>160</v>
      </c>
      <c r="B68" s="4" t="s">
        <v>161</v>
      </c>
      <c r="C68" s="3" t="s">
        <v>25</v>
      </c>
      <c r="D68" s="3" t="n">
        <v>3</v>
      </c>
      <c r="E68" s="3" t="n">
        <v>98</v>
      </c>
      <c r="F68" s="3" t="n">
        <v>62.3</v>
      </c>
      <c r="G68" s="3" t="n">
        <v>9.85</v>
      </c>
      <c r="H68" s="3" t="s">
        <v>26</v>
      </c>
    </row>
    <row r="69" customFormat="false" ht="15" hidden="false" customHeight="true" outlineLevel="0" collapsed="false">
      <c r="A69" s="5" t="s">
        <v>162</v>
      </c>
      <c r="B69" s="6" t="s">
        <v>163</v>
      </c>
      <c r="C69" s="5" t="s">
        <v>50</v>
      </c>
      <c r="D69" s="5" t="n">
        <v>6</v>
      </c>
      <c r="E69" s="5" t="n">
        <v>98</v>
      </c>
      <c r="F69" s="5" t="n">
        <v>78.6</v>
      </c>
      <c r="G69" s="5" t="n">
        <v>9.75</v>
      </c>
      <c r="H69" s="5" t="s">
        <v>35</v>
      </c>
    </row>
    <row r="70" customFormat="false" ht="15" hidden="false" customHeight="true" outlineLevel="0" collapsed="false">
      <c r="A70" s="3" t="s">
        <v>164</v>
      </c>
      <c r="B70" s="4" t="s">
        <v>165</v>
      </c>
      <c r="C70" s="3" t="s">
        <v>10</v>
      </c>
      <c r="D70" s="3" t="n">
        <v>8</v>
      </c>
      <c r="E70" s="3" t="n">
        <v>53</v>
      </c>
      <c r="F70" s="3" t="n">
        <v>63.2</v>
      </c>
      <c r="G70" s="3" t="n">
        <v>5.75</v>
      </c>
      <c r="H70" s="3" t="s">
        <v>11</v>
      </c>
    </row>
    <row r="71" customFormat="false" ht="15" hidden="false" customHeight="true" outlineLevel="0" collapsed="false">
      <c r="A71" s="5" t="s">
        <v>166</v>
      </c>
      <c r="B71" s="6" t="s">
        <v>167</v>
      </c>
      <c r="C71" s="5" t="s">
        <v>31</v>
      </c>
      <c r="D71" s="5" t="n">
        <v>5</v>
      </c>
      <c r="E71" s="5" t="n">
        <v>79</v>
      </c>
      <c r="F71" s="5" t="n">
        <v>73.2</v>
      </c>
      <c r="G71" s="5" t="n">
        <v>8.02</v>
      </c>
      <c r="H71" s="5" t="s">
        <v>22</v>
      </c>
    </row>
    <row r="72" customFormat="false" ht="15" hidden="false" customHeight="true" outlineLevel="0" collapsed="false">
      <c r="A72" s="3" t="s">
        <v>168</v>
      </c>
      <c r="B72" s="4" t="s">
        <v>169</v>
      </c>
      <c r="C72" s="3" t="s">
        <v>92</v>
      </c>
      <c r="D72" s="3" t="n">
        <v>4</v>
      </c>
      <c r="E72" s="3" t="n">
        <v>75</v>
      </c>
      <c r="F72" s="3" t="n">
        <v>99.3</v>
      </c>
      <c r="G72" s="3" t="n">
        <v>7.91</v>
      </c>
      <c r="H72" s="3" t="s">
        <v>26</v>
      </c>
    </row>
    <row r="73" customFormat="false" ht="15" hidden="false" customHeight="true" outlineLevel="0" collapsed="false">
      <c r="A73" s="5" t="s">
        <v>170</v>
      </c>
      <c r="B73" s="6" t="s">
        <v>171</v>
      </c>
      <c r="C73" s="5" t="s">
        <v>68</v>
      </c>
      <c r="D73" s="5" t="n">
        <v>3</v>
      </c>
      <c r="E73" s="5" t="n">
        <v>36</v>
      </c>
      <c r="F73" s="5" t="n">
        <v>75</v>
      </c>
      <c r="G73" s="5" t="n">
        <v>4.36</v>
      </c>
      <c r="H73" s="5" t="s">
        <v>15</v>
      </c>
    </row>
    <row r="74" customFormat="false" ht="15" hidden="false" customHeight="true" outlineLevel="0" collapsed="false">
      <c r="A74" s="3" t="s">
        <v>172</v>
      </c>
      <c r="B74" s="4" t="s">
        <v>173</v>
      </c>
      <c r="C74" s="3" t="s">
        <v>31</v>
      </c>
      <c r="D74" s="3" t="n">
        <v>5</v>
      </c>
      <c r="E74" s="3" t="n">
        <v>100</v>
      </c>
      <c r="F74" s="3" t="n">
        <v>65.6</v>
      </c>
      <c r="G74" s="3" t="n">
        <v>9.94</v>
      </c>
      <c r="H74" s="3" t="s">
        <v>22</v>
      </c>
    </row>
    <row r="75" customFormat="false" ht="15" hidden="false" customHeight="true" outlineLevel="0" collapsed="false">
      <c r="A75" s="5" t="s">
        <v>174</v>
      </c>
      <c r="B75" s="6" t="s">
        <v>175</v>
      </c>
      <c r="C75" s="5" t="s">
        <v>81</v>
      </c>
      <c r="D75" s="5" t="n">
        <v>4</v>
      </c>
      <c r="E75" s="5" t="n">
        <v>44</v>
      </c>
      <c r="F75" s="5" t="n">
        <v>58.6</v>
      </c>
      <c r="G75" s="5" t="n">
        <v>5.14</v>
      </c>
      <c r="H75" s="5" t="s">
        <v>11</v>
      </c>
    </row>
    <row r="76" customFormat="false" ht="15" hidden="false" customHeight="true" outlineLevel="0" collapsed="false">
      <c r="A76" s="3" t="s">
        <v>176</v>
      </c>
      <c r="B76" s="4" t="s">
        <v>177</v>
      </c>
      <c r="C76" s="3" t="s">
        <v>38</v>
      </c>
      <c r="D76" s="3" t="n">
        <v>6</v>
      </c>
      <c r="E76" s="3" t="n">
        <v>95</v>
      </c>
      <c r="F76" s="3" t="n">
        <v>57.8</v>
      </c>
      <c r="G76" s="3" t="n">
        <v>9.89</v>
      </c>
      <c r="H76" s="3" t="s">
        <v>35</v>
      </c>
    </row>
    <row r="77" customFormat="false" ht="15" hidden="false" customHeight="true" outlineLevel="0" collapsed="false">
      <c r="A77" s="5" t="s">
        <v>178</v>
      </c>
      <c r="B77" s="6" t="s">
        <v>179</v>
      </c>
      <c r="C77" s="5" t="s">
        <v>50</v>
      </c>
      <c r="D77" s="5" t="n">
        <v>1</v>
      </c>
      <c r="E77" s="5" t="n">
        <v>85</v>
      </c>
      <c r="F77" s="5" t="n">
        <v>55.3</v>
      </c>
      <c r="G77" s="5" t="n">
        <v>8.51</v>
      </c>
      <c r="H77" s="5" t="s">
        <v>35</v>
      </c>
    </row>
    <row r="78" customFormat="false" ht="15" hidden="false" customHeight="true" outlineLevel="0" collapsed="false">
      <c r="A78" s="3" t="s">
        <v>180</v>
      </c>
      <c r="B78" s="4" t="s">
        <v>181</v>
      </c>
      <c r="C78" s="3" t="s">
        <v>21</v>
      </c>
      <c r="D78" s="3" t="n">
        <v>5</v>
      </c>
      <c r="E78" s="3" t="n">
        <v>61</v>
      </c>
      <c r="F78" s="3" t="n">
        <v>61.6</v>
      </c>
      <c r="G78" s="3" t="n">
        <v>6.05</v>
      </c>
      <c r="H78" s="3" t="s">
        <v>22</v>
      </c>
    </row>
    <row r="79" customFormat="false" ht="15" hidden="false" customHeight="true" outlineLevel="0" collapsed="false">
      <c r="A79" s="5" t="s">
        <v>182</v>
      </c>
      <c r="B79" s="6" t="s">
        <v>183</v>
      </c>
      <c r="C79" s="5" t="s">
        <v>117</v>
      </c>
      <c r="D79" s="5" t="n">
        <v>3</v>
      </c>
      <c r="E79" s="5" t="n">
        <v>75</v>
      </c>
      <c r="F79" s="5" t="n">
        <v>94.1</v>
      </c>
      <c r="G79" s="5" t="n">
        <v>7.63</v>
      </c>
      <c r="H79" s="5" t="s">
        <v>11</v>
      </c>
    </row>
    <row r="80" customFormat="false" ht="15" hidden="false" customHeight="true" outlineLevel="0" collapsed="false">
      <c r="A80" s="3" t="s">
        <v>184</v>
      </c>
      <c r="B80" s="4" t="s">
        <v>185</v>
      </c>
      <c r="C80" s="3" t="s">
        <v>38</v>
      </c>
      <c r="D80" s="3" t="n">
        <v>4</v>
      </c>
      <c r="E80" s="3" t="n">
        <v>93</v>
      </c>
      <c r="F80" s="3" t="n">
        <v>70</v>
      </c>
      <c r="G80" s="3" t="n">
        <v>9.75</v>
      </c>
      <c r="H80" s="3" t="s">
        <v>35</v>
      </c>
    </row>
    <row r="81" customFormat="false" ht="15" hidden="false" customHeight="true" outlineLevel="0" collapsed="false">
      <c r="A81" s="5" t="s">
        <v>186</v>
      </c>
      <c r="B81" s="6" t="s">
        <v>187</v>
      </c>
      <c r="C81" s="5" t="s">
        <v>117</v>
      </c>
      <c r="D81" s="5" t="n">
        <v>8</v>
      </c>
      <c r="E81" s="5" t="n">
        <v>62</v>
      </c>
      <c r="F81" s="5" t="n">
        <v>59.1</v>
      </c>
      <c r="G81" s="5" t="n">
        <v>6.52</v>
      </c>
      <c r="H81" s="5" t="s">
        <v>11</v>
      </c>
    </row>
    <row r="82" customFormat="false" ht="15" hidden="false" customHeight="true" outlineLevel="0" collapsed="false">
      <c r="A82" s="3" t="s">
        <v>188</v>
      </c>
      <c r="B82" s="4" t="s">
        <v>189</v>
      </c>
      <c r="C82" s="3" t="s">
        <v>38</v>
      </c>
      <c r="D82" s="3" t="n">
        <v>3</v>
      </c>
      <c r="E82" s="3" t="n">
        <v>91</v>
      </c>
      <c r="F82" s="3" t="n">
        <v>98.6</v>
      </c>
      <c r="G82" s="3" t="n">
        <v>9.23</v>
      </c>
      <c r="H82" s="3" t="s">
        <v>35</v>
      </c>
    </row>
    <row r="83" customFormat="false" ht="15" hidden="false" customHeight="true" outlineLevel="0" collapsed="false">
      <c r="A83" s="5" t="s">
        <v>190</v>
      </c>
      <c r="B83" s="6" t="s">
        <v>191</v>
      </c>
      <c r="C83" s="5" t="s">
        <v>25</v>
      </c>
      <c r="D83" s="5" t="n">
        <v>4</v>
      </c>
      <c r="E83" s="5" t="n">
        <v>59</v>
      </c>
      <c r="F83" s="5" t="n">
        <v>70</v>
      </c>
      <c r="G83" s="5" t="n">
        <v>6.42</v>
      </c>
      <c r="H83" s="5" t="s">
        <v>26</v>
      </c>
    </row>
    <row r="84" customFormat="false" ht="15" hidden="false" customHeight="true" outlineLevel="0" collapsed="false">
      <c r="A84" s="3" t="s">
        <v>192</v>
      </c>
      <c r="B84" s="4" t="s">
        <v>193</v>
      </c>
      <c r="C84" s="3" t="s">
        <v>14</v>
      </c>
      <c r="D84" s="3" t="n">
        <v>8</v>
      </c>
      <c r="E84" s="3" t="n">
        <v>82</v>
      </c>
      <c r="F84" s="3" t="n">
        <v>63.3</v>
      </c>
      <c r="G84" s="3" t="n">
        <v>8.25</v>
      </c>
      <c r="H84" s="3" t="s">
        <v>15</v>
      </c>
    </row>
    <row r="85" customFormat="false" ht="15" hidden="false" customHeight="true" outlineLevel="0" collapsed="false">
      <c r="A85" s="5" t="s">
        <v>194</v>
      </c>
      <c r="B85" s="6" t="s">
        <v>195</v>
      </c>
      <c r="C85" s="5" t="s">
        <v>21</v>
      </c>
      <c r="D85" s="5" t="n">
        <v>2</v>
      </c>
      <c r="E85" s="5" t="n">
        <v>49</v>
      </c>
      <c r="F85" s="5" t="n">
        <v>65.3</v>
      </c>
      <c r="G85" s="5" t="n">
        <v>5.63</v>
      </c>
      <c r="H85" s="5" t="s">
        <v>22</v>
      </c>
    </row>
    <row r="86" customFormat="false" ht="15" hidden="false" customHeight="true" outlineLevel="0" collapsed="false">
      <c r="A86" s="3" t="s">
        <v>196</v>
      </c>
      <c r="B86" s="4" t="s">
        <v>197</v>
      </c>
      <c r="C86" s="3" t="s">
        <v>25</v>
      </c>
      <c r="D86" s="3" t="n">
        <v>2</v>
      </c>
      <c r="E86" s="3" t="n">
        <v>78</v>
      </c>
      <c r="F86" s="3" t="n">
        <v>77.6</v>
      </c>
      <c r="G86" s="3" t="n">
        <v>7.73</v>
      </c>
      <c r="H86" s="3" t="s">
        <v>26</v>
      </c>
    </row>
    <row r="87" customFormat="false" ht="15" hidden="false" customHeight="true" outlineLevel="0" collapsed="false">
      <c r="A87" s="5" t="s">
        <v>198</v>
      </c>
      <c r="B87" s="6" t="s">
        <v>199</v>
      </c>
      <c r="C87" s="5" t="s">
        <v>81</v>
      </c>
      <c r="D87" s="5" t="n">
        <v>8</v>
      </c>
      <c r="E87" s="5" t="n">
        <v>52</v>
      </c>
      <c r="F87" s="5" t="n">
        <v>68.2</v>
      </c>
      <c r="G87" s="5" t="n">
        <v>6.17</v>
      </c>
      <c r="H87" s="5" t="s">
        <v>11</v>
      </c>
    </row>
    <row r="88" customFormat="false" ht="15" hidden="false" customHeight="true" outlineLevel="0" collapsed="false">
      <c r="A88" s="3" t="s">
        <v>200</v>
      </c>
      <c r="B88" s="4" t="s">
        <v>201</v>
      </c>
      <c r="C88" s="3" t="s">
        <v>47</v>
      </c>
      <c r="D88" s="3" t="n">
        <v>2</v>
      </c>
      <c r="E88" s="3" t="n">
        <v>37</v>
      </c>
      <c r="F88" s="3" t="n">
        <v>61.8</v>
      </c>
      <c r="G88" s="3" t="n">
        <v>4.02</v>
      </c>
      <c r="H88" s="3" t="s">
        <v>26</v>
      </c>
    </row>
    <row r="89" customFormat="false" ht="15" hidden="false" customHeight="true" outlineLevel="0" collapsed="false">
      <c r="A89" s="5" t="s">
        <v>202</v>
      </c>
      <c r="B89" s="6" t="s">
        <v>203</v>
      </c>
      <c r="C89" s="5" t="s">
        <v>21</v>
      </c>
      <c r="D89" s="5" t="n">
        <v>2</v>
      </c>
      <c r="E89" s="5" t="n">
        <v>74</v>
      </c>
      <c r="F89" s="5" t="n">
        <v>84.5</v>
      </c>
      <c r="G89" s="5" t="n">
        <v>7.79</v>
      </c>
      <c r="H89" s="5" t="s">
        <v>22</v>
      </c>
    </row>
    <row r="90" customFormat="false" ht="15" hidden="false" customHeight="true" outlineLevel="0" collapsed="false">
      <c r="A90" s="3" t="s">
        <v>204</v>
      </c>
      <c r="B90" s="4" t="s">
        <v>205</v>
      </c>
      <c r="C90" s="3" t="s">
        <v>18</v>
      </c>
      <c r="D90" s="3" t="n">
        <v>5</v>
      </c>
      <c r="E90" s="3" t="n">
        <v>34</v>
      </c>
      <c r="F90" s="3" t="n">
        <v>65.2</v>
      </c>
      <c r="G90" s="3" t="n">
        <v>4.26</v>
      </c>
      <c r="H90" s="3" t="s">
        <v>15</v>
      </c>
    </row>
    <row r="91" customFormat="false" ht="15" hidden="false" customHeight="true" outlineLevel="0" collapsed="false">
      <c r="A91" s="5" t="s">
        <v>206</v>
      </c>
      <c r="B91" s="6" t="s">
        <v>207</v>
      </c>
      <c r="C91" s="5" t="s">
        <v>92</v>
      </c>
      <c r="D91" s="5" t="n">
        <v>7</v>
      </c>
      <c r="E91" s="5" t="n">
        <v>34</v>
      </c>
      <c r="F91" s="5" t="n">
        <v>59.2</v>
      </c>
      <c r="G91" s="5" t="n">
        <v>4</v>
      </c>
      <c r="H91" s="5" t="s">
        <v>26</v>
      </c>
    </row>
    <row r="92" customFormat="false" ht="15" hidden="false" customHeight="true" outlineLevel="0" collapsed="false">
      <c r="A92" s="3" t="s">
        <v>208</v>
      </c>
      <c r="B92" s="4" t="s">
        <v>209</v>
      </c>
      <c r="C92" s="3" t="s">
        <v>38</v>
      </c>
      <c r="D92" s="3" t="n">
        <v>7</v>
      </c>
      <c r="E92" s="3" t="n">
        <v>56</v>
      </c>
      <c r="F92" s="3" t="n">
        <v>81.3</v>
      </c>
      <c r="G92" s="3" t="n">
        <v>6.39</v>
      </c>
      <c r="H92" s="3" t="s">
        <v>35</v>
      </c>
    </row>
    <row r="93" customFormat="false" ht="15" hidden="false" customHeight="true" outlineLevel="0" collapsed="false">
      <c r="A93" s="5" t="s">
        <v>210</v>
      </c>
      <c r="B93" s="6" t="s">
        <v>211</v>
      </c>
      <c r="C93" s="5" t="s">
        <v>10</v>
      </c>
      <c r="D93" s="5" t="n">
        <v>6</v>
      </c>
      <c r="E93" s="5" t="n">
        <v>54</v>
      </c>
      <c r="F93" s="5" t="n">
        <v>60.7</v>
      </c>
      <c r="G93" s="5" t="n">
        <v>5.69</v>
      </c>
      <c r="H93" s="5" t="s">
        <v>11</v>
      </c>
    </row>
    <row r="94" customFormat="false" ht="15" hidden="false" customHeight="true" outlineLevel="0" collapsed="false">
      <c r="A94" s="3" t="s">
        <v>212</v>
      </c>
      <c r="B94" s="4" t="s">
        <v>213</v>
      </c>
      <c r="C94" s="3" t="s">
        <v>10</v>
      </c>
      <c r="D94" s="3" t="n">
        <v>1</v>
      </c>
      <c r="E94" s="3" t="n">
        <v>60</v>
      </c>
      <c r="F94" s="3" t="n">
        <v>95.3</v>
      </c>
      <c r="G94" s="3" t="n">
        <v>6.78</v>
      </c>
      <c r="H94" s="3" t="s">
        <v>11</v>
      </c>
    </row>
    <row r="95" customFormat="false" ht="15" hidden="false" customHeight="true" outlineLevel="0" collapsed="false">
      <c r="A95" s="5" t="s">
        <v>214</v>
      </c>
      <c r="B95" s="6" t="s">
        <v>215</v>
      </c>
      <c r="C95" s="5" t="s">
        <v>14</v>
      </c>
      <c r="D95" s="5" t="n">
        <v>4</v>
      </c>
      <c r="E95" s="5" t="n">
        <v>85</v>
      </c>
      <c r="F95" s="5" t="n">
        <v>79.2</v>
      </c>
      <c r="G95" s="5" t="n">
        <v>8.8</v>
      </c>
      <c r="H95" s="5" t="s">
        <v>15</v>
      </c>
    </row>
    <row r="96" customFormat="false" ht="15" hidden="false" customHeight="true" outlineLevel="0" collapsed="false">
      <c r="A96" s="3" t="s">
        <v>216</v>
      </c>
      <c r="B96" s="4" t="s">
        <v>217</v>
      </c>
      <c r="C96" s="3" t="s">
        <v>81</v>
      </c>
      <c r="D96" s="3" t="n">
        <v>2</v>
      </c>
      <c r="E96" s="3" t="n">
        <v>54</v>
      </c>
      <c r="F96" s="3" t="n">
        <v>81.5</v>
      </c>
      <c r="G96" s="3" t="n">
        <v>6.06</v>
      </c>
      <c r="H96" s="3" t="s">
        <v>11</v>
      </c>
    </row>
    <row r="97" customFormat="false" ht="15" hidden="false" customHeight="true" outlineLevel="0" collapsed="false">
      <c r="A97" s="5" t="s">
        <v>218</v>
      </c>
      <c r="B97" s="6" t="s">
        <v>219</v>
      </c>
      <c r="C97" s="5" t="s">
        <v>38</v>
      </c>
      <c r="D97" s="5" t="n">
        <v>8</v>
      </c>
      <c r="E97" s="5" t="n">
        <v>87</v>
      </c>
      <c r="F97" s="5" t="n">
        <v>59.1</v>
      </c>
      <c r="G97" s="5" t="n">
        <v>8.56</v>
      </c>
      <c r="H97" s="5" t="s">
        <v>35</v>
      </c>
    </row>
    <row r="98" customFormat="false" ht="15" hidden="false" customHeight="true" outlineLevel="0" collapsed="false">
      <c r="A98" s="3" t="s">
        <v>220</v>
      </c>
      <c r="B98" s="4" t="s">
        <v>221</v>
      </c>
      <c r="C98" s="3" t="s">
        <v>14</v>
      </c>
      <c r="D98" s="3" t="n">
        <v>3</v>
      </c>
      <c r="E98" s="3" t="n">
        <v>57</v>
      </c>
      <c r="F98" s="3" t="n">
        <v>87.9</v>
      </c>
      <c r="G98" s="3" t="n">
        <v>5.93</v>
      </c>
      <c r="H98" s="3" t="s">
        <v>15</v>
      </c>
    </row>
    <row r="99" customFormat="false" ht="15" hidden="false" customHeight="true" outlineLevel="0" collapsed="false">
      <c r="A99" s="5" t="s">
        <v>222</v>
      </c>
      <c r="B99" s="6" t="s">
        <v>223</v>
      </c>
      <c r="C99" s="5" t="s">
        <v>25</v>
      </c>
      <c r="D99" s="5" t="n">
        <v>6</v>
      </c>
      <c r="E99" s="5" t="n">
        <v>44</v>
      </c>
      <c r="F99" s="5" t="n">
        <v>71.9</v>
      </c>
      <c r="G99" s="5" t="n">
        <v>4.84</v>
      </c>
      <c r="H99" s="5" t="s">
        <v>26</v>
      </c>
    </row>
    <row r="100" customFormat="false" ht="15" hidden="false" customHeight="true" outlineLevel="0" collapsed="false">
      <c r="A100" s="3" t="s">
        <v>224</v>
      </c>
      <c r="B100" s="4" t="s">
        <v>225</v>
      </c>
      <c r="C100" s="3" t="s">
        <v>92</v>
      </c>
      <c r="D100" s="3" t="n">
        <v>1</v>
      </c>
      <c r="E100" s="3" t="n">
        <v>78</v>
      </c>
      <c r="F100" s="3" t="n">
        <v>55.9</v>
      </c>
      <c r="G100" s="3" t="n">
        <v>8.46</v>
      </c>
      <c r="H100" s="3" t="s">
        <v>26</v>
      </c>
    </row>
    <row r="101" customFormat="false" ht="15" hidden="false" customHeight="true" outlineLevel="0" collapsed="false">
      <c r="A101" s="5" t="s">
        <v>226</v>
      </c>
      <c r="B101" s="6" t="s">
        <v>227</v>
      </c>
      <c r="C101" s="5" t="s">
        <v>50</v>
      </c>
      <c r="D101" s="5" t="n">
        <v>4</v>
      </c>
      <c r="E101" s="5" t="n">
        <v>95</v>
      </c>
      <c r="F101" s="5" t="n">
        <v>67.1</v>
      </c>
      <c r="G101" s="5" t="n">
        <v>9.54</v>
      </c>
      <c r="H101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7" t="s">
        <v>228</v>
      </c>
      <c r="B1" s="7"/>
      <c r="C1" s="7"/>
      <c r="D1" s="7"/>
    </row>
    <row r="2" customFormat="false" ht="15" hidden="false" customHeight="true" outlineLevel="0" collapsed="false">
      <c r="A2" s="8" t="s">
        <v>229</v>
      </c>
      <c r="B2" s="9" t="n">
        <f aca="false">COUNTA('Student Records'!A2:A101)</f>
        <v>100</v>
      </c>
    </row>
    <row r="3" customFormat="false" ht="15" hidden="false" customHeight="true" outlineLevel="0" collapsed="false">
      <c r="A3" s="8" t="s">
        <v>230</v>
      </c>
      <c r="B3" s="10" t="n">
        <f aca="false">AVERAGE('Student Records'!G2:G101)</f>
        <v>6.9939</v>
      </c>
    </row>
    <row r="4" customFormat="false" ht="15" hidden="false" customHeight="true" outlineLevel="0" collapsed="false">
      <c r="A4" s="8" t="s">
        <v>231</v>
      </c>
      <c r="B4" s="10" t="n">
        <f aca="false">MAX('Student Records'!G2:G101)</f>
        <v>10</v>
      </c>
    </row>
    <row r="5" customFormat="false" ht="15" hidden="false" customHeight="true" outlineLevel="0" collapsed="false">
      <c r="A5" s="8" t="s">
        <v>232</v>
      </c>
      <c r="B5" s="10" t="n">
        <f aca="false">MIN('Student Records'!G2:G101)</f>
        <v>2.72</v>
      </c>
    </row>
    <row r="6" customFormat="false" ht="15" hidden="false" customHeight="true" outlineLevel="0" collapsed="false">
      <c r="A6" s="8" t="s">
        <v>233</v>
      </c>
      <c r="B6" s="11" t="n">
        <f aca="false">AVERAGE('Student Records'!F2:F101)</f>
        <v>72.233</v>
      </c>
    </row>
    <row r="7" customFormat="false" ht="15" hidden="false" customHeight="true" outlineLevel="0" collapsed="false">
      <c r="A7" s="8" t="s">
        <v>234</v>
      </c>
      <c r="B7" s="11" t="n">
        <f aca="false">AVERAGE('Student Records'!E2:E101)</f>
        <v>65.93</v>
      </c>
    </row>
    <row r="8" customFormat="false" ht="15" hidden="false" customHeight="true" outlineLevel="0" collapsed="false">
      <c r="A8" s="8" t="s">
        <v>235</v>
      </c>
      <c r="B8" s="11" t="n">
        <f aca="false">COUNTIF('Student Records'!E2:E101,"&gt;=33")/COUNTA('Student Records'!E2:E101)*100</f>
        <v>96</v>
      </c>
    </row>
    <row r="10" customFormat="false" ht="19.5" hidden="false" customHeight="true" outlineLevel="0" collapsed="false">
      <c r="A10" s="7" t="s">
        <v>236</v>
      </c>
      <c r="B10" s="7"/>
      <c r="C10" s="7"/>
      <c r="D10" s="7"/>
    </row>
    <row r="11" customFormat="false" ht="15" hidden="false" customHeight="true" outlineLevel="0" collapsed="false">
      <c r="A11" s="12" t="s">
        <v>7</v>
      </c>
      <c r="B11" s="12" t="s">
        <v>237</v>
      </c>
      <c r="C11" s="12" t="s">
        <v>238</v>
      </c>
    </row>
    <row r="12" customFormat="false" ht="15" hidden="false" customHeight="true" outlineLevel="0" collapsed="false">
      <c r="A12" s="13" t="s">
        <v>26</v>
      </c>
      <c r="B12" s="13" t="str">
        <f aca="false">IFERROR(INDEX('Student Records'!$B$2:$B$101,MATCH(1,('Student Records'!$G$2:$G$101=C12)*('Student Records'!$H$2:$H$101=A12),0)),"N/A")</f>
        <v>N/A</v>
      </c>
      <c r="C12" s="14" t="n">
        <f aca="false">MAX(IF('Student Records'!$H$2:$H$101=A12,'Student Records'!$G$2:$G$101))</f>
        <v>0</v>
      </c>
    </row>
    <row r="13" customFormat="false" ht="15" hidden="false" customHeight="true" outlineLevel="0" collapsed="false">
      <c r="A13" s="13" t="s">
        <v>11</v>
      </c>
      <c r="B13" s="13" t="str">
        <f aca="false">IFERROR(INDEX('Student Records'!$B$2:$B$101,MATCH(1,('Student Records'!$G$2:$G$101=C13)*('Student Records'!$H$2:$H$101=A13),0)),"N/A")</f>
        <v>N/A</v>
      </c>
      <c r="C13" s="14" t="n">
        <f aca="false">MAX(IF('Student Records'!$H$2:$H$101=A13,'Student Records'!$G$2:$G$101))</f>
        <v>0</v>
      </c>
    </row>
    <row r="14" customFormat="false" ht="15" hidden="false" customHeight="true" outlineLevel="0" collapsed="false">
      <c r="A14" s="13" t="s">
        <v>22</v>
      </c>
      <c r="B14" s="13" t="str">
        <f aca="false">IFERROR(INDEX('Student Records'!$B$2:$B$101,MATCH(1,('Student Records'!$G$2:$G$101=C14)*('Student Records'!$H$2:$H$101=A14),0)),"N/A")</f>
        <v>N/A</v>
      </c>
      <c r="C14" s="14" t="n">
        <f aca="false">MAX(IF('Student Records'!$H$2:$H$101=A14,'Student Records'!$G$2:$G$101))</f>
        <v>0</v>
      </c>
    </row>
    <row r="15" customFormat="false" ht="15" hidden="false" customHeight="true" outlineLevel="0" collapsed="false">
      <c r="A15" s="13" t="s">
        <v>35</v>
      </c>
      <c r="B15" s="13" t="str">
        <f aca="false">IFERROR(INDEX('Student Records'!$B$2:$B$101,MATCH(1,('Student Records'!$G$2:$G$101=C15)*('Student Records'!$H$2:$H$101=A15),0)),"N/A")</f>
        <v>N/A</v>
      </c>
      <c r="C15" s="14" t="n">
        <f aca="false">MAX(IF('Student Records'!$H$2:$H$101=A15,'Student Records'!$G$2:$G$101))</f>
        <v>10</v>
      </c>
    </row>
    <row r="16" customFormat="false" ht="15" hidden="false" customHeight="true" outlineLevel="0" collapsed="false">
      <c r="A16" s="13" t="s">
        <v>15</v>
      </c>
      <c r="B16" s="13" t="str">
        <f aca="false">IFERROR(INDEX('Student Records'!$B$2:$B$101,MATCH(1,('Student Records'!$G$2:$G$101=C16)*('Student Records'!$H$2:$H$101=A16),0)),"N/A")</f>
        <v>N/A</v>
      </c>
      <c r="C16" s="14" t="n">
        <f aca="false">MAX(IF('Student Records'!$H$2:$H$101=A16,'Student Records'!$G$2:$G$101))</f>
        <v>0</v>
      </c>
    </row>
    <row r="18" customFormat="false" ht="19.5" hidden="false" customHeight="true" outlineLevel="0" collapsed="false">
      <c r="A18" s="7" t="s">
        <v>239</v>
      </c>
      <c r="B18" s="7"/>
      <c r="C18" s="7"/>
      <c r="D18" s="7"/>
    </row>
    <row r="19" customFormat="false" ht="15" hidden="false" customHeight="true" outlineLevel="0" collapsed="false">
      <c r="A19" s="12" t="s">
        <v>7</v>
      </c>
      <c r="B19" s="12" t="s">
        <v>229</v>
      </c>
      <c r="C19" s="12" t="s">
        <v>240</v>
      </c>
      <c r="D19" s="12" t="s">
        <v>241</v>
      </c>
    </row>
    <row r="20" customFormat="false" ht="15" hidden="false" customHeight="true" outlineLevel="0" collapsed="false">
      <c r="A20" s="13" t="s">
        <v>26</v>
      </c>
      <c r="B20" s="9" t="n">
        <f aca="false">COUNTIF('Student Records'!H2:H101,A20)</f>
        <v>20</v>
      </c>
      <c r="C20" s="9" t="n">
        <f aca="false">COUNTIFS('Student Records'!H2:H101,A20,'Student Records'!E2:E101,"&gt;=33")</f>
        <v>18</v>
      </c>
      <c r="D20" s="11" t="n">
        <f aca="false">IF(B20=0,0,C20/B20*100)</f>
        <v>90</v>
      </c>
    </row>
    <row r="21" customFormat="false" ht="15" hidden="false" customHeight="true" outlineLevel="0" collapsed="false">
      <c r="A21" s="13" t="s">
        <v>11</v>
      </c>
      <c r="B21" s="9" t="n">
        <f aca="false">COUNTIF('Student Records'!H2:H101,A21)</f>
        <v>20</v>
      </c>
      <c r="C21" s="9" t="n">
        <f aca="false">COUNTIFS('Student Records'!H2:H101,A21,'Student Records'!E2:E101,"&gt;=33")</f>
        <v>19</v>
      </c>
      <c r="D21" s="11" t="n">
        <f aca="false">IF(B21=0,0,C21/B21*100)</f>
        <v>95</v>
      </c>
    </row>
    <row r="22" customFormat="false" ht="15" hidden="false" customHeight="true" outlineLevel="0" collapsed="false">
      <c r="A22" s="13" t="s">
        <v>22</v>
      </c>
      <c r="B22" s="9" t="n">
        <f aca="false">COUNTIF('Student Records'!H2:H101,A22)</f>
        <v>20</v>
      </c>
      <c r="C22" s="9" t="n">
        <f aca="false">COUNTIFS('Student Records'!H2:H101,A22,'Student Records'!E2:E101,"&gt;=33")</f>
        <v>20</v>
      </c>
      <c r="D22" s="11" t="n">
        <f aca="false">IF(B22=0,0,C22/B22*100)</f>
        <v>100</v>
      </c>
    </row>
    <row r="23" customFormat="false" ht="15" hidden="false" customHeight="true" outlineLevel="0" collapsed="false">
      <c r="A23" s="13" t="s">
        <v>35</v>
      </c>
      <c r="B23" s="9" t="n">
        <f aca="false">COUNTIF('Student Records'!H2:H101,A23)</f>
        <v>20</v>
      </c>
      <c r="C23" s="9" t="n">
        <f aca="false">COUNTIFS('Student Records'!H2:H101,A23,'Student Records'!E2:E101,"&gt;=33")</f>
        <v>19</v>
      </c>
      <c r="D23" s="11" t="n">
        <f aca="false">IF(B23=0,0,C23/B23*100)</f>
        <v>95</v>
      </c>
    </row>
    <row r="24" customFormat="false" ht="15" hidden="false" customHeight="true" outlineLevel="0" collapsed="false">
      <c r="A24" s="13" t="s">
        <v>15</v>
      </c>
      <c r="B24" s="9" t="n">
        <f aca="false">COUNTIF('Student Records'!H2:H101,A24)</f>
        <v>20</v>
      </c>
      <c r="C24" s="9" t="n">
        <f aca="false">COUNTIFS('Student Records'!H2:H101,A24,'Student Records'!E2:E101,"&gt;=33")</f>
        <v>20</v>
      </c>
      <c r="D24" s="11" t="n">
        <f aca="false">IF(B24=0,0,C24/B24*100)</f>
        <v>100</v>
      </c>
    </row>
    <row r="26" customFormat="false" ht="19.5" hidden="false" customHeight="true" outlineLevel="0" collapsed="false">
      <c r="A26" s="7" t="s">
        <v>242</v>
      </c>
      <c r="B26" s="7"/>
      <c r="C26" s="7"/>
      <c r="D26" s="7"/>
    </row>
    <row r="27" customFormat="false" ht="15" hidden="false" customHeight="true" outlineLevel="0" collapsed="false">
      <c r="A27" s="12" t="s">
        <v>243</v>
      </c>
      <c r="B27" s="12" t="s">
        <v>244</v>
      </c>
      <c r="C27" s="12" t="s">
        <v>245</v>
      </c>
    </row>
    <row r="28" customFormat="false" ht="15" hidden="false" customHeight="true" outlineLevel="0" collapsed="false">
      <c r="A28" s="13" t="s">
        <v>246</v>
      </c>
      <c r="B28" s="9" t="n">
        <f aca="false">COUNTIF('Student Records'!G2:G101,"&gt;=9")</f>
        <v>18</v>
      </c>
      <c r="C28" s="11" t="n">
        <f aca="false">IF(B28=0,0,B28/100*100)</f>
        <v>18</v>
      </c>
    </row>
    <row r="29" customFormat="false" ht="15" hidden="false" customHeight="true" outlineLevel="0" collapsed="false">
      <c r="A29" s="13" t="s">
        <v>247</v>
      </c>
      <c r="B29" s="9" t="n">
        <f aca="false">COUNTIFS('Student Records'!G2:G101,"&gt;=8",'Student Records'!G2:G101,"&lt;9")</f>
        <v>16</v>
      </c>
      <c r="C29" s="11" t="n">
        <f aca="false">IF(B29=0,0,B29/100*100)</f>
        <v>16</v>
      </c>
    </row>
    <row r="30" customFormat="false" ht="15" hidden="false" customHeight="true" outlineLevel="0" collapsed="false">
      <c r="A30" s="13" t="s">
        <v>248</v>
      </c>
      <c r="B30" s="9" t="n">
        <f aca="false">COUNTIFS('Student Records'!G2:G101,"&gt;=7",'Student Records'!G2:G101,"&lt;8")</f>
        <v>18</v>
      </c>
      <c r="C30" s="11" t="n">
        <f aca="false">IF(B30=0,0,B30/100*100)</f>
        <v>18</v>
      </c>
    </row>
    <row r="31" customFormat="false" ht="15" hidden="false" customHeight="true" outlineLevel="0" collapsed="false">
      <c r="A31" s="13" t="s">
        <v>249</v>
      </c>
      <c r="B31" s="9" t="n">
        <f aca="false">COUNTIFS('Student Records'!G2:G101,"&gt;=6",'Student Records'!G2:G101,"&lt;7")</f>
        <v>13</v>
      </c>
      <c r="C31" s="11" t="n">
        <f aca="false">IF(B31=0,0,B31/100*100)</f>
        <v>13</v>
      </c>
    </row>
    <row r="32" customFormat="false" ht="15" hidden="false" customHeight="true" outlineLevel="0" collapsed="false">
      <c r="A32" s="13" t="s">
        <v>250</v>
      </c>
      <c r="B32" s="9" t="n">
        <f aca="false">COUNTIF('Student Records'!G2:G101,"&lt;6")</f>
        <v>35</v>
      </c>
      <c r="C32" s="11" t="n">
        <f aca="false">IF(B32=0,0,B32/100*100)</f>
        <v>35</v>
      </c>
    </row>
  </sheetData>
  <mergeCells count="4">
    <mergeCell ref="A1:D1"/>
    <mergeCell ref="A10:D10"/>
    <mergeCell ref="A18:D18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2026-04-06T09:47:30Z</dcterms:created>
  <dc:creator>openpyxl</dc:creator>
  <dc:description/>
  <dc:language>en-US</dc:language>
  <cp:lastModifiedBy/>
  <dcterms:modified xsi:type="dcterms:W3CDTF">2026-04-06T09:47:56Z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